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riaconnijkerk.sharepoint.com/sites/KVGM/Gedeelde documenten/Brandveiligheid/Algemene informatie brandveiligheid/"/>
    </mc:Choice>
  </mc:AlternateContent>
  <xr:revisionPtr revIDLastSave="148" documentId="8_{569BEE6F-DE4C-455C-A630-133D543A7EC0}" xr6:coauthVersionLast="47" xr6:coauthVersionMax="47" xr10:uidLastSave="{D21A8E98-E356-48A2-A057-CAC963A33D72}"/>
  <bookViews>
    <workbookView xWindow="-108" yWindow="-108" windowWidth="23256" windowHeight="12456" xr2:uid="{00000000-000D-0000-FFFF-FFFF00000000}"/>
  </bookViews>
  <sheets>
    <sheet name="Blad1" sheetId="1" r:id="rId1"/>
    <sheet name="Blad2" sheetId="2" r:id="rId2"/>
    <sheet name="Blad3" sheetId="3" r:id="rId3"/>
  </sheets>
  <externalReferences>
    <externalReference r:id="rId4"/>
  </externalReferences>
  <definedNames>
    <definedName name="_xlnm._FilterDatabase" localSheetId="0" hidden="1">Blad1!$B$4:$H$22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H6" i="1" s="1"/>
  <c r="F6" i="1"/>
  <c r="G8" i="1"/>
  <c r="H8" i="1" s="1"/>
  <c r="F8" i="1"/>
  <c r="G7" i="1"/>
  <c r="H7" i="1" s="1"/>
  <c r="F7" i="1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33" i="2"/>
  <c r="A34" i="2"/>
  <c r="A35" i="2"/>
  <c r="A36" i="2"/>
  <c r="A37" i="2"/>
  <c r="A38" i="2"/>
  <c r="A39" i="2"/>
  <c r="A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G15" i="1"/>
  <c r="H15" i="1" s="1"/>
  <c r="F15" i="1"/>
  <c r="G14" i="1"/>
  <c r="H14" i="1" s="1"/>
  <c r="F14" i="1"/>
  <c r="G13" i="1"/>
  <c r="H13" i="1" s="1"/>
  <c r="F13" i="1"/>
  <c r="G12" i="1"/>
  <c r="H12" i="1" s="1"/>
  <c r="F12" i="1"/>
  <c r="G10" i="1"/>
  <c r="H10" i="1" s="1"/>
  <c r="F10" i="1"/>
  <c r="G9" i="1"/>
  <c r="H9" i="1" s="1"/>
  <c r="F9" i="1"/>
  <c r="G5" i="1"/>
  <c r="F5" i="1"/>
  <c r="S16" i="1" l="1"/>
  <c r="T16" i="1" s="1"/>
  <c r="M16" i="1"/>
  <c r="S15" i="1"/>
  <c r="T15" i="1" s="1"/>
  <c r="M15" i="1"/>
  <c r="S14" i="1"/>
  <c r="T14" i="1" s="1"/>
  <c r="M14" i="1"/>
  <c r="S13" i="1"/>
  <c r="T13" i="1" s="1"/>
  <c r="M13" i="1"/>
  <c r="S12" i="1"/>
  <c r="T12" i="1" s="1"/>
  <c r="M12" i="1"/>
  <c r="H16" i="1" l="1"/>
  <c r="S11" i="1" l="1"/>
  <c r="T11" i="1" s="1"/>
  <c r="M11" i="1"/>
  <c r="S5" i="1"/>
  <c r="T5" i="1" s="1"/>
  <c r="M5" i="1"/>
  <c r="H5" i="1"/>
  <c r="H11" i="1" s="1"/>
  <c r="H18" i="1" l="1"/>
  <c r="X20" i="1"/>
  <c r="X21" i="1"/>
  <c r="X22" i="1"/>
  <c r="H17" i="1" l="1"/>
  <c r="X18" i="1"/>
  <c r="X24" i="1" s="1"/>
  <c r="V19" i="1" l="1"/>
  <c r="S17" i="1" l="1"/>
  <c r="T17" i="1" s="1"/>
  <c r="S19" i="1"/>
  <c r="S18" i="1"/>
  <c r="T18" i="1" s="1"/>
  <c r="G18" i="1" s="1"/>
  <c r="S20" i="1"/>
  <c r="T20" i="1" s="1"/>
  <c r="G20" i="1" s="1"/>
  <c r="S21" i="1"/>
  <c r="T21" i="1" s="1"/>
  <c r="G21" i="1" s="1"/>
  <c r="S22" i="1"/>
  <c r="T22" i="1" s="1"/>
  <c r="G22" i="1" s="1"/>
  <c r="S23" i="1"/>
  <c r="T23" i="1" s="1"/>
  <c r="M4" i="1" l="1"/>
  <c r="H21" i="1" l="1"/>
  <c r="H20" i="1"/>
  <c r="L17" i="1"/>
  <c r="Q19" i="1" s="1"/>
  <c r="T19" i="1" s="1"/>
  <c r="G19" i="1" s="1"/>
  <c r="H19" i="1" s="1"/>
  <c r="H22" i="1" l="1"/>
  <c r="H24" i="1" s="1"/>
  <c r="L21" i="1" l="1"/>
</calcChain>
</file>

<file path=xl/sharedStrings.xml><?xml version="1.0" encoding="utf-8"?>
<sst xmlns="http://schemas.openxmlformats.org/spreadsheetml/2006/main" count="40" uniqueCount="29">
  <si>
    <t>Werkzaamheden</t>
  </si>
  <si>
    <t>Hvh</t>
  </si>
  <si>
    <t>Eenheid</t>
  </si>
  <si>
    <t>Kosten / Eenheid</t>
  </si>
  <si>
    <t>Totaalkosten</t>
  </si>
  <si>
    <t>post</t>
  </si>
  <si>
    <t>Algemeen</t>
  </si>
  <si>
    <t>%</t>
  </si>
  <si>
    <t>SUBTOTAAL</t>
  </si>
  <si>
    <t>TOTAAL</t>
  </si>
  <si>
    <t>mat</t>
  </si>
  <si>
    <t>tot</t>
  </si>
  <si>
    <t>norm</t>
  </si>
  <si>
    <t>totaal;</t>
  </si>
  <si>
    <t>Opmerking TriaCon</t>
  </si>
  <si>
    <t>BTW 21%</t>
  </si>
  <si>
    <t>Staartkosten 10%</t>
  </si>
  <si>
    <t>ONVOORZIENE KOSTEN 10%</t>
  </si>
  <si>
    <t>ABK 10%</t>
  </si>
  <si>
    <t>Prijs aangeleverd Coen Hagendoorn</t>
  </si>
  <si>
    <t>5%AK, 2%W+R, 0,3% Car</t>
  </si>
  <si>
    <t>5% ABK</t>
  </si>
  <si>
    <t>21% BTW</t>
  </si>
  <si>
    <t>A</t>
  </si>
  <si>
    <t>B</t>
  </si>
  <si>
    <t xml:space="preserve">     </t>
  </si>
  <si>
    <t>Gebrek nummer</t>
  </si>
  <si>
    <t>(straatnaam)</t>
  </si>
  <si>
    <t xml:space="preserve">Kostenraming werkzaamheden brandveiligheid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</si>
</sst>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€&quot;\ * #,##0_ ;_ &quot;€&quot;\ * \-#,##0_ ;_ &quot;€&quot;\ * &quot;-&quot;_ ;_ @_ "/>
    <numFmt numFmtId="44" formatCode="_ &quot;€&quot;\ * #,##0.00_ ;_ &quot;€&quot;\ * \-#,##0.00_ ;_ &quot;€&quot;\ * &quot;-&quot;??_ ;_ @_ "/>
  </numFmts>
  <fonts count="7" x14ac:knownFonts="1"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8"/>
      <name val="Arial"/>
      <family val="2"/>
    </font>
    <font>
      <sz val="10"/>
      <color rgb="FFFFFF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982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42" fontId="0" fillId="0" borderId="0" xfId="0" applyNumberFormat="1"/>
    <xf numFmtId="42" fontId="0" fillId="4" borderId="1" xfId="0" applyNumberFormat="1" applyFill="1" applyBorder="1"/>
    <xf numFmtId="42" fontId="0" fillId="3" borderId="1" xfId="0" applyNumberFormat="1" applyFill="1" applyBorder="1"/>
    <xf numFmtId="42" fontId="1" fillId="4" borderId="1" xfId="0" applyNumberFormat="1" applyFont="1" applyFill="1" applyBorder="1"/>
    <xf numFmtId="42" fontId="2" fillId="4" borderId="1" xfId="0" applyNumberFormat="1" applyFont="1" applyFill="1" applyBorder="1"/>
    <xf numFmtId="42" fontId="1" fillId="0" borderId="0" xfId="0" applyNumberFormat="1" applyFont="1"/>
    <xf numFmtId="42" fontId="0" fillId="0" borderId="0" xfId="0" applyNumberFormat="1" applyAlignment="1">
      <alignment horizontal="left"/>
    </xf>
    <xf numFmtId="42" fontId="0" fillId="0" borderId="1" xfId="0" applyNumberFormat="1" applyBorder="1"/>
    <xf numFmtId="42" fontId="0" fillId="6" borderId="1" xfId="0" applyNumberFormat="1" applyFill="1" applyBorder="1"/>
    <xf numFmtId="0" fontId="1" fillId="2" borderId="0" xfId="0" applyFont="1" applyFill="1"/>
    <xf numFmtId="0" fontId="0" fillId="0" borderId="0" xfId="0" applyAlignment="1">
      <alignment horizontal="left" wrapText="1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horizontal="left"/>
    </xf>
    <xf numFmtId="0" fontId="0" fillId="7" borderId="1" xfId="0" applyFill="1" applyBorder="1"/>
    <xf numFmtId="42" fontId="0" fillId="7" borderId="1" xfId="0" applyNumberFormat="1" applyFill="1" applyBorder="1"/>
    <xf numFmtId="44" fontId="0" fillId="0" borderId="0" xfId="0" applyNumberFormat="1"/>
    <xf numFmtId="42" fontId="1" fillId="2" borderId="0" xfId="0" applyNumberFormat="1" applyFont="1" applyFill="1"/>
    <xf numFmtId="42" fontId="0" fillId="7" borderId="0" xfId="0" applyNumberFormat="1" applyFill="1"/>
    <xf numFmtId="42" fontId="0" fillId="6" borderId="0" xfId="0" applyNumberFormat="1" applyFill="1"/>
    <xf numFmtId="42" fontId="0" fillId="4" borderId="0" xfId="0" applyNumberFormat="1" applyFill="1"/>
    <xf numFmtId="42" fontId="0" fillId="3" borderId="0" xfId="0" applyNumberFormat="1" applyFill="1"/>
    <xf numFmtId="42" fontId="1" fillId="4" borderId="0" xfId="0" applyNumberFormat="1" applyFont="1" applyFill="1"/>
    <xf numFmtId="42" fontId="2" fillId="2" borderId="0" xfId="0" applyNumberFormat="1" applyFont="1" applyFill="1"/>
    <xf numFmtId="1" fontId="0" fillId="0" borderId="1" xfId="0" applyNumberFormat="1" applyBorder="1"/>
    <xf numFmtId="42" fontId="4" fillId="5" borderId="1" xfId="0" applyNumberFormat="1" applyFont="1" applyFill="1" applyBorder="1"/>
    <xf numFmtId="44" fontId="1" fillId="0" borderId="0" xfId="0" applyNumberFormat="1" applyFont="1"/>
    <xf numFmtId="44" fontId="2" fillId="0" borderId="0" xfId="0" applyNumberFormat="1" applyFont="1"/>
    <xf numFmtId="0" fontId="1" fillId="8" borderId="1" xfId="0" applyFont="1" applyFill="1" applyBorder="1"/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left"/>
    </xf>
    <xf numFmtId="42" fontId="1" fillId="8" borderId="1" xfId="0" applyNumberFormat="1" applyFont="1" applyFill="1" applyBorder="1"/>
    <xf numFmtId="42" fontId="2" fillId="8" borderId="1" xfId="0" applyNumberFormat="1" applyFont="1" applyFill="1" applyBorder="1"/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44" fontId="0" fillId="0" borderId="1" xfId="1" applyFont="1" applyBorder="1"/>
  </cellXfs>
  <cellStyles count="2">
    <cellStyle name="Standaard" xfId="0" builtinId="0"/>
    <cellStyle name="Valuta" xfId="1" builtinId="4"/>
  </cellStyles>
  <dxfs count="0"/>
  <tableStyles count="0" defaultTableStyle="TableStyleMedium9" defaultPivotStyle="PivotStyleLight16"/>
  <colors>
    <mruColors>
      <color rgb="FFF298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aconnijkerk.sharepoint.com/sites/KVGM/Gedeelde%20documenten/Brandveiligheid/Algemene%20informatie%20brandveiligheid/Eenheidsprijzenlijst%202026.xlsx" TargetMode="External"/><Relationship Id="rId1" Type="http://schemas.openxmlformats.org/officeDocument/2006/relationships/externalLinkPath" Target="Eenheidsprijzenlijst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uidige versie"/>
      <sheetName val="Blad3"/>
      <sheetName val="Eenheidsprijzenlijst 2026"/>
    </sheetNames>
    <sheetDataSet>
      <sheetData sheetId="0">
        <row r="1">
          <cell r="A1" t="str">
            <v>Draadglas vervangen voor aantoonbaar 30  min. WBDBO.</v>
          </cell>
          <cell r="B1">
            <v>853.85</v>
          </cell>
          <cell r="C1" t="str">
            <v>m2</v>
          </cell>
        </row>
        <row r="2">
          <cell r="A2" t="str">
            <v>Draadglas vervangen voor aantoonbaar 60  min. WBDBO.</v>
          </cell>
          <cell r="B2">
            <v>1003.85</v>
          </cell>
          <cell r="C2" t="str">
            <v>m2</v>
          </cell>
        </row>
        <row r="3">
          <cell r="A3" t="str">
            <v>Glas vervangen voor brandwerend glas met een WBDBO 30 min.</v>
          </cell>
          <cell r="B3">
            <v>853.85</v>
          </cell>
          <cell r="C3" t="str">
            <v>m2</v>
          </cell>
        </row>
        <row r="4">
          <cell r="A4" t="str">
            <v>Glas vervangen voor brandwerend glas met een WBDBO 60 min.</v>
          </cell>
          <cell r="B4">
            <v>1003.85</v>
          </cell>
          <cell r="C4" t="str">
            <v>m2</v>
          </cell>
        </row>
        <row r="5">
          <cell r="A5" t="str">
            <v>Promatecplaat toepassen in kozijn</v>
          </cell>
          <cell r="B5">
            <v>88.2</v>
          </cell>
          <cell r="C5" t="str">
            <v>m2</v>
          </cell>
        </row>
        <row r="6">
          <cell r="A6" t="str">
            <v>Mechanische deurdranger toepassen</v>
          </cell>
          <cell r="B6">
            <v>1000</v>
          </cell>
          <cell r="C6" t="str">
            <v>st</v>
          </cell>
        </row>
        <row r="7">
          <cell r="A7" t="str">
            <v>Deurdranger vervangen.</v>
          </cell>
          <cell r="B7">
            <v>216.28</v>
          </cell>
          <cell r="C7" t="str">
            <v>st</v>
          </cell>
        </row>
        <row r="8">
          <cell r="A8" t="str">
            <v>Deurdranger met sensor toepassen.</v>
          </cell>
          <cell r="B8">
            <v>158.51</v>
          </cell>
          <cell r="C8" t="str">
            <v>st</v>
          </cell>
        </row>
        <row r="9">
          <cell r="A9" t="str">
            <v>Deurdranger met sleutelschakelaar toepassen.</v>
          </cell>
          <cell r="B9">
            <v>80.34</v>
          </cell>
          <cell r="C9" t="str">
            <v>st</v>
          </cell>
        </row>
        <row r="10">
          <cell r="A10" t="str">
            <v>Deurdranger met knop toepassen.</v>
          </cell>
          <cell r="B10">
            <v>111.77</v>
          </cell>
          <cell r="C10" t="str">
            <v>st</v>
          </cell>
        </row>
        <row r="11">
          <cell r="A11" t="str">
            <v>Sluitkracht dranger aanpassen.</v>
          </cell>
          <cell r="B11">
            <v>120.44</v>
          </cell>
          <cell r="C11" t="str">
            <v>st</v>
          </cell>
        </row>
        <row r="12">
          <cell r="A12" t="str">
            <v xml:space="preserve">Vrijloopdranger toepassen. </v>
          </cell>
          <cell r="B12">
            <v>1575</v>
          </cell>
          <cell r="C12" t="str">
            <v>st</v>
          </cell>
        </row>
        <row r="13">
          <cell r="A13" t="str">
            <v>Vrijloopdranger aansturing (via de BMI)</v>
          </cell>
          <cell r="B13">
            <v>1260</v>
          </cell>
          <cell r="C13" t="str">
            <v>st</v>
          </cell>
        </row>
        <row r="14">
          <cell r="A14" t="str">
            <v>Vrijloopdranger aansturing (RF rookmelder incl. schakeling)</v>
          </cell>
          <cell r="B14">
            <v>378</v>
          </cell>
          <cell r="C14" t="str">
            <v>st</v>
          </cell>
        </row>
        <row r="15">
          <cell r="A15" t="str">
            <v>Vrijloopdranger controleren, onderhouden en voorzien van een keuringssticker</v>
          </cell>
          <cell r="B15">
            <v>0</v>
          </cell>
          <cell r="C15" t="str">
            <v>st</v>
          </cell>
        </row>
        <row r="16">
          <cell r="A16" t="str">
            <v>Elektrische deurdranger toepassen</v>
          </cell>
          <cell r="B16">
            <v>2750.48</v>
          </cell>
          <cell r="C16" t="str">
            <v>st</v>
          </cell>
        </row>
        <row r="17">
          <cell r="A17" t="str">
            <v xml:space="preserve">Automatische schuifdeur onderhouden en voorzien van een keuringssticker. </v>
          </cell>
          <cell r="B17">
            <v>0</v>
          </cell>
          <cell r="C17" t="str">
            <v>st</v>
          </cell>
        </row>
        <row r="18">
          <cell r="A18" t="str">
            <v xml:space="preserve">Deur afhangen zodat de naden &lt;3 mm. zijn. </v>
          </cell>
          <cell r="B18">
            <v>180.66</v>
          </cell>
          <cell r="C18" t="str">
            <v>st</v>
          </cell>
        </row>
        <row r="19">
          <cell r="A19" t="str">
            <v xml:space="preserve">Deur verlengen zodat de naad &lt;6 mm. is. </v>
          </cell>
          <cell r="B19">
            <v>340.31</v>
          </cell>
          <cell r="C19" t="str">
            <v>st</v>
          </cell>
        </row>
        <row r="20">
          <cell r="A20" t="str">
            <v xml:space="preserve">Deur voorzien van bij brand opschuimende strips zodat de gestelde brandwerendheidseis wordt behaald. </v>
          </cell>
          <cell r="B20">
            <v>217.98</v>
          </cell>
          <cell r="C20" t="str">
            <v>st</v>
          </cell>
        </row>
        <row r="21">
          <cell r="A21" t="str">
            <v xml:space="preserve">Sponning aanpassen naar &gt;25 mm. zodat de gestelde brandwerendheidseis wordt behaald. </v>
          </cell>
          <cell r="B21">
            <v>94.82</v>
          </cell>
          <cell r="C21" t="str">
            <v>st</v>
          </cell>
        </row>
        <row r="22">
          <cell r="A22" t="str">
            <v>Brandwerende deurnaald vervangen</v>
          </cell>
          <cell r="B22">
            <v>886.6</v>
          </cell>
          <cell r="C22" t="str">
            <v>st</v>
          </cell>
        </row>
        <row r="23">
          <cell r="A23" t="str">
            <v>Vervangen/toepassen schopplaat</v>
          </cell>
          <cell r="B23">
            <v>113.73</v>
          </cell>
          <cell r="C23" t="str">
            <v>st</v>
          </cell>
        </row>
        <row r="24">
          <cell r="A24" t="str">
            <v xml:space="preserve">Glaslatten vervangen zodat de onderlinge afstand van schroeven &lt;250 mm. is.  </v>
          </cell>
          <cell r="B24">
            <v>53.85</v>
          </cell>
          <cell r="C24" t="str">
            <v>m1</v>
          </cell>
        </row>
        <row r="25">
          <cell r="A25" t="str">
            <v xml:space="preserve">Glaslatten vervangen zodat de onderlinge afstand van spijkers &lt;100 mm. is.  </v>
          </cell>
          <cell r="B25">
            <v>53.85</v>
          </cell>
          <cell r="C25" t="str">
            <v>m1</v>
          </cell>
        </row>
        <row r="26">
          <cell r="A26" t="str">
            <v xml:space="preserve">Dichte deur vervangen door schilderdeur deur. </v>
          </cell>
          <cell r="B26">
            <v>600.29</v>
          </cell>
          <cell r="C26" t="str">
            <v>st</v>
          </cell>
        </row>
        <row r="27">
          <cell r="A27" t="str">
            <v xml:space="preserve">Dichte deur vervangen door HPL deur. </v>
          </cell>
          <cell r="B27">
            <v>771.43</v>
          </cell>
          <cell r="C27" t="str">
            <v>st</v>
          </cell>
        </row>
        <row r="28">
          <cell r="A28" t="str">
            <v>Deur met glasopening vervangen</v>
          </cell>
          <cell r="B28">
            <v>1797.99</v>
          </cell>
          <cell r="C28" t="str">
            <v>st</v>
          </cell>
        </row>
        <row r="29">
          <cell r="A29" t="str">
            <v>Deur- en kozijn vervangen door schilderdeur en hardhouten kozijn</v>
          </cell>
          <cell r="B29">
            <v>1607.27</v>
          </cell>
          <cell r="C29" t="str">
            <v>st</v>
          </cell>
        </row>
        <row r="30">
          <cell r="A30" t="str">
            <v xml:space="preserve">Deur- en kozijn vervangen door HPL deur + hardhouten kozijn. </v>
          </cell>
          <cell r="B30">
            <v>2198.5</v>
          </cell>
          <cell r="C30" t="str">
            <v>st</v>
          </cell>
        </row>
        <row r="31">
          <cell r="A31" t="str">
            <v>Deur met glasopening- en kozijn vervangen</v>
          </cell>
          <cell r="B31">
            <v>2821.37</v>
          </cell>
          <cell r="C31" t="str">
            <v>st</v>
          </cell>
        </row>
        <row r="32">
          <cell r="A32" t="str">
            <v>Deur- en kozijn vervangen door extra brede deur.</v>
          </cell>
          <cell r="B32">
            <v>3013.66</v>
          </cell>
          <cell r="C32" t="str">
            <v>st</v>
          </cell>
        </row>
        <row r="33">
          <cell r="A33" t="str">
            <v>Vervangen woningstoegangsdeuren</v>
          </cell>
          <cell r="B33">
            <v>1137.02</v>
          </cell>
          <cell r="C33" t="str">
            <v>st</v>
          </cell>
        </row>
        <row r="34">
          <cell r="A34" t="str">
            <v>De koof 60 min. brandwerend afwerken zodat de kans op branddoorslag naar de omliggende ruimtes wordt beperkt.</v>
          </cell>
          <cell r="B34">
            <v>350</v>
          </cell>
          <cell r="C34" t="str">
            <v>m2</v>
          </cell>
        </row>
        <row r="35">
          <cell r="A35" t="str">
            <v>De koof 30 min. brandwerend afwerken zodat de kans op branddoorslag naar de omliggende ruimtes wordt beperkt.</v>
          </cell>
          <cell r="B35">
            <v>235.2</v>
          </cell>
          <cell r="C35" t="str">
            <v>m2</v>
          </cell>
        </row>
        <row r="36">
          <cell r="A36" t="str">
            <v>De schacht 60 min. brandwerend afwerken zodat de kans op branddoorslag naar de omliggende ruimtes wordt beperkt.</v>
          </cell>
          <cell r="B36">
            <v>350</v>
          </cell>
          <cell r="C36" t="str">
            <v>m2</v>
          </cell>
        </row>
        <row r="37">
          <cell r="A37" t="str">
            <v>De schacht 30 min. brandwerend afwerken zodat de kans op branddoorslag naar de omliggende ruimtes wordt beperkt.</v>
          </cell>
          <cell r="B37">
            <v>235.2</v>
          </cell>
          <cell r="C37" t="str">
            <v>m2</v>
          </cell>
        </row>
        <row r="38">
          <cell r="A38" t="str">
            <v>De doorvoeren die de brandscheiding doorbreken preventief brandwerend afwerken (VWA + Hyg.kap)</v>
          </cell>
          <cell r="B38">
            <v>217.67</v>
          </cell>
          <cell r="C38" t="str">
            <v>st</v>
          </cell>
        </row>
        <row r="39">
          <cell r="A39" t="str">
            <v>De doorvoeren die de brandscheiding doorbreken preventief brandwerend afwerken (RGA)</v>
          </cell>
          <cell r="B39">
            <v>210.11</v>
          </cell>
          <cell r="C39" t="str">
            <v>st</v>
          </cell>
        </row>
        <row r="40">
          <cell r="A40" t="str">
            <v>De doorvoeren die de brandscheiding doorbreken preventief brandwerend afwerken. (meterkast)</v>
          </cell>
          <cell r="B40">
            <v>149.94</v>
          </cell>
          <cell r="C40" t="str">
            <v>st</v>
          </cell>
        </row>
        <row r="41">
          <cell r="A41" t="str">
            <v>De doorvoeren die de brandscheiding doorbreken preventief brandwerend afwerken (&lt; 22mm.)</v>
          </cell>
          <cell r="B41">
            <v>88.2</v>
          </cell>
          <cell r="C41" t="str">
            <v>st</v>
          </cell>
        </row>
        <row r="42">
          <cell r="A42" t="str">
            <v>De doorvoeren die de brandscheiding doorbreken preventief brandwerend afwerken (&gt; 22mm.)</v>
          </cell>
          <cell r="B42">
            <v>101.82</v>
          </cell>
          <cell r="C42" t="str">
            <v>st</v>
          </cell>
        </row>
        <row r="43">
          <cell r="A43" t="str">
            <v>De doorvoeren die de brandscheiding doorbreken preventief brandwerend afwerken (verwarmingsbuizen)</v>
          </cell>
          <cell r="B43">
            <v>167.58</v>
          </cell>
          <cell r="C43" t="str">
            <v>st</v>
          </cell>
        </row>
        <row r="44">
          <cell r="A44" t="str">
            <v>Ventilatiekanalen voorzien van brandkleppen waardoor het risico op brandoverslag naar overige ruimten wordt beperkt.  (125 mm)</v>
          </cell>
          <cell r="B44">
            <v>253.07</v>
          </cell>
          <cell r="C44" t="str">
            <v>st</v>
          </cell>
        </row>
        <row r="45">
          <cell r="A45" t="str">
            <v>Ventilatiekanalen voorzien van brandkleppen waardoor het risico op brandoverslag naar overige ruimten wordt beperkt. (250 mm)</v>
          </cell>
          <cell r="B45">
            <v>705.41</v>
          </cell>
          <cell r="C45" t="str">
            <v>st</v>
          </cell>
        </row>
        <row r="46">
          <cell r="A46" t="str">
            <v>Ventilatiekanalen voorzien van brandkleppen waardoor het risico op brandoverslag naar overige ruimten wordt beperkt.  (315 mm)</v>
          </cell>
          <cell r="B46">
            <v>1041.83</v>
          </cell>
          <cell r="C46" t="str">
            <v>st</v>
          </cell>
        </row>
        <row r="47">
          <cell r="A47" t="str">
            <v>Ventilatiekanalen voorzien van brandkleppen waardoor het risico op brandoverslag naar overige ruimten wordt beperkt.  (400 mm)</v>
          </cell>
          <cell r="B47">
            <v>793.61</v>
          </cell>
          <cell r="C47" t="str">
            <v>st</v>
          </cell>
        </row>
        <row r="48">
          <cell r="A48" t="str">
            <v>Ventilatiekanalen voorzien van brandkleppen waardoor het risico op brandoverslag naar overige ruimten wordt beperkt. (500 mm)</v>
          </cell>
          <cell r="B48">
            <v>845.27</v>
          </cell>
          <cell r="C48" t="str">
            <v>st</v>
          </cell>
        </row>
        <row r="49">
          <cell r="A49" t="str">
            <v>Brandwerend ventilatierooster plaatsen</v>
          </cell>
          <cell r="B49">
            <v>191.2</v>
          </cell>
          <cell r="C49" t="str">
            <v>st</v>
          </cell>
        </row>
        <row r="50">
          <cell r="A50" t="str">
            <v>Brandwerend ventilatieventiel plaatsen</v>
          </cell>
          <cell r="B50">
            <v>201.6</v>
          </cell>
          <cell r="C50" t="str">
            <v>st</v>
          </cell>
        </row>
        <row r="51">
          <cell r="A51" t="str">
            <v xml:space="preserve">De tegels herstellen zodat er veilig gevlucht kan worden. </v>
          </cell>
          <cell r="B51">
            <v>0</v>
          </cell>
        </row>
        <row r="52">
          <cell r="A52" t="str">
            <v xml:space="preserve">Bewoners informeren om geen objecten te plaatsen in de vluchtwegen en de objecten te verwijderen. </v>
          </cell>
          <cell r="B52">
            <v>0</v>
          </cell>
        </row>
        <row r="53">
          <cell r="A53" t="str">
            <v xml:space="preserve">Vluchttrap vervangen zodat de gestelde brandwerendheidseisen behaald worden. </v>
          </cell>
          <cell r="B53">
            <v>6300</v>
          </cell>
          <cell r="C53" t="str">
            <v>st/verdieping</v>
          </cell>
        </row>
        <row r="54">
          <cell r="A54" t="str">
            <v xml:space="preserve">Hellingbaan zodanig aanpassen dat de gestelde brandwerendheidseisen worden behaald. </v>
          </cell>
          <cell r="B54">
            <v>200</v>
          </cell>
          <cell r="C54" t="str">
            <v>st</v>
          </cell>
        </row>
        <row r="55">
          <cell r="A55" t="str">
            <v xml:space="preserve">Draairichting van de deur in de vluchtroute aanpassen zodat de deur bij het openen niet tegen de vluchtrichting in draait. </v>
          </cell>
          <cell r="B55">
            <v>105</v>
          </cell>
          <cell r="C55" t="str">
            <v>st</v>
          </cell>
        </row>
        <row r="56">
          <cell r="A56" t="str">
            <v>Bewoners informeren het zelfsluitende constructieonderdeel niet vast te zetten.</v>
          </cell>
          <cell r="B56">
            <v>0</v>
          </cell>
        </row>
        <row r="57">
          <cell r="A57" t="str">
            <v>Trapleuning toepassen</v>
          </cell>
          <cell r="B57">
            <v>94.5</v>
          </cell>
          <cell r="C57" t="str">
            <v>m1</v>
          </cell>
        </row>
        <row r="58">
          <cell r="A58" t="str">
            <v xml:space="preserve">Bewoners informeren om geen scootmobielen in de vluchtweg te stallen. </v>
          </cell>
          <cell r="B58">
            <v>0</v>
          </cell>
        </row>
        <row r="59">
          <cell r="A59" t="str">
            <v>Nieuwe scootmobielruimte realiseren (afhankelijk van de situatie)</v>
          </cell>
          <cell r="B59">
            <v>31500</v>
          </cell>
          <cell r="C59" t="str">
            <v>st</v>
          </cell>
        </row>
        <row r="60">
          <cell r="A60" t="str">
            <v>Oplaadpunt scootmobielen verwijderen</v>
          </cell>
          <cell r="B60">
            <v>105</v>
          </cell>
          <cell r="C60" t="str">
            <v>st</v>
          </cell>
        </row>
        <row r="61">
          <cell r="A61" t="str">
            <v xml:space="preserve">Blusmiddelen onderhouden en voorzien van een keuringssticker. </v>
          </cell>
          <cell r="B61">
            <v>315</v>
          </cell>
          <cell r="C61" t="str">
            <v>post</v>
          </cell>
        </row>
        <row r="62">
          <cell r="A62" t="str">
            <v xml:space="preserve">Gebouw voorzien van voldoende blusmiddelen. </v>
          </cell>
          <cell r="B62">
            <v>100.8</v>
          </cell>
          <cell r="C62" t="str">
            <v>st</v>
          </cell>
        </row>
        <row r="63">
          <cell r="A63" t="str">
            <v xml:space="preserve">Blusmiddel duidelijk zichtbaar ophangen of aanduiden met pictogrammen. </v>
          </cell>
          <cell r="B63">
            <v>105</v>
          </cell>
          <cell r="C63" t="str">
            <v>st</v>
          </cell>
        </row>
        <row r="64">
          <cell r="A64" t="str">
            <v xml:space="preserve">BMI (indien nodig) in nominale staat brengen en certificeren volgens CCV inspectieschema brandbeveiliging. </v>
          </cell>
          <cell r="B64">
            <v>0</v>
          </cell>
          <cell r="C64" t="str">
            <v>st</v>
          </cell>
        </row>
        <row r="65">
          <cell r="A65" t="str">
            <v>Nevenindicator verplaatsen</v>
          </cell>
          <cell r="B65">
            <v>105</v>
          </cell>
          <cell r="C65" t="str">
            <v>st</v>
          </cell>
        </row>
        <row r="66">
          <cell r="A66" t="str">
            <v xml:space="preserve">Documenten aanvragen zodat aangetoond kan worden dat de BMI aan de eisen van het Besluit bouwwerken leefomgeving voldoet. </v>
          </cell>
          <cell r="B66">
            <v>0</v>
          </cell>
          <cell r="C66" t="str">
            <v>st</v>
          </cell>
        </row>
        <row r="67">
          <cell r="A67" t="str">
            <v>Ontruimingsplan maken</v>
          </cell>
          <cell r="B67">
            <v>1500</v>
          </cell>
          <cell r="C67" t="str">
            <v>st</v>
          </cell>
        </row>
        <row r="68">
          <cell r="A68" t="str">
            <v>Logboek aanleveren</v>
          </cell>
          <cell r="B68">
            <v>203.01</v>
          </cell>
          <cell r="C68" t="str">
            <v>st</v>
          </cell>
        </row>
        <row r="69">
          <cell r="A69" t="str">
            <v xml:space="preserve">Verlichting onderhouden en voorzien van een keuringssticker. </v>
          </cell>
          <cell r="B69">
            <v>315</v>
          </cell>
          <cell r="C69" t="str">
            <v>post</v>
          </cell>
        </row>
        <row r="70">
          <cell r="A70" t="str">
            <v xml:space="preserve">Nood- en vluchtwegverlichting aanbrengen in de gebouwen. </v>
          </cell>
          <cell r="B70">
            <v>56.7</v>
          </cell>
          <cell r="C70" t="str">
            <v>st</v>
          </cell>
        </row>
        <row r="71">
          <cell r="A71" t="str">
            <v xml:space="preserve">Vluchtrouteaanduidingen op duidelijk waarneembare plekken aanbrengen. </v>
          </cell>
          <cell r="B71">
            <v>105</v>
          </cell>
          <cell r="C71" t="str">
            <v>st</v>
          </cell>
        </row>
        <row r="72">
          <cell r="A72" t="str">
            <v>Vluchtrouteaanduidingen verwijderen</v>
          </cell>
          <cell r="B72">
            <v>105</v>
          </cell>
          <cell r="C72" t="str">
            <v>st</v>
          </cell>
        </row>
        <row r="73">
          <cell r="A73" t="str">
            <v>Nood- en vluchtwegverlichting controleren, onderhouden en voorzien van een keuringssticker</v>
          </cell>
          <cell r="B73">
            <v>0</v>
          </cell>
        </row>
        <row r="74">
          <cell r="A74" t="str">
            <v xml:space="preserve">Brandweeringang aangeven d.m.v. een pictogram. </v>
          </cell>
          <cell r="B74">
            <v>0</v>
          </cell>
        </row>
        <row r="75">
          <cell r="A75" t="str">
            <v>Groene ontruimingsknop plaatsen</v>
          </cell>
          <cell r="B75">
            <v>360</v>
          </cell>
          <cell r="C75" t="str">
            <v>st</v>
          </cell>
        </row>
        <row r="76">
          <cell r="A76" t="str">
            <v xml:space="preserve">Inspectie uitvoeren om te inventariseren hoeveel rookmelders er geplaatst moeten worden. </v>
          </cell>
          <cell r="B76">
            <v>55.44</v>
          </cell>
          <cell r="C76" t="str">
            <v>st</v>
          </cell>
        </row>
        <row r="77">
          <cell r="A77" t="str">
            <v xml:space="preserve">Rookmelder plaatsen EI650I </v>
          </cell>
          <cell r="B77">
            <v>260.82</v>
          </cell>
          <cell r="C77" t="str">
            <v>st</v>
          </cell>
        </row>
        <row r="78">
          <cell r="A78" t="str">
            <v>Rookmelder plaatsen (koppelbaar) EI650I</v>
          </cell>
          <cell r="B78">
            <v>182.27</v>
          </cell>
          <cell r="C78" t="str">
            <v>st</v>
          </cell>
        </row>
        <row r="79">
          <cell r="A79" t="str">
            <v>Rookmelders verplaatsen</v>
          </cell>
          <cell r="B79">
            <v>105</v>
          </cell>
          <cell r="C79" t="str">
            <v>st</v>
          </cell>
        </row>
        <row r="80">
          <cell r="A80" t="str">
            <v>De bewoners informeren de rookmelders op te hangen en aan te sluiten.</v>
          </cell>
          <cell r="B80">
            <v>0</v>
          </cell>
          <cell r="C80"/>
        </row>
        <row r="81">
          <cell r="A81" t="str">
            <v>Slot herstellen</v>
          </cell>
          <cell r="B81">
            <v>105</v>
          </cell>
          <cell r="C81" t="str">
            <v>st</v>
          </cell>
        </row>
        <row r="82">
          <cell r="A82" t="str">
            <v xml:space="preserve">Dagschoot herstellen </v>
          </cell>
          <cell r="B82">
            <v>105</v>
          </cell>
          <cell r="C82" t="str">
            <v>st</v>
          </cell>
        </row>
        <row r="83">
          <cell r="A83" t="str">
            <v xml:space="preserve">Anti-inbraakplaat </v>
          </cell>
          <cell r="B83">
            <v>189</v>
          </cell>
          <cell r="C83" t="str">
            <v>st</v>
          </cell>
        </row>
        <row r="84">
          <cell r="A84" t="str">
            <v>Deur hekwerk verwijderen</v>
          </cell>
          <cell r="B84">
            <v>105</v>
          </cell>
          <cell r="C84" t="str">
            <v>st</v>
          </cell>
        </row>
        <row r="85">
          <cell r="A85" t="str">
            <v>Meerpuntssluiting herstellen</v>
          </cell>
          <cell r="B85">
            <v>189</v>
          </cell>
          <cell r="C85" t="str">
            <v>st</v>
          </cell>
        </row>
        <row r="86">
          <cell r="A86" t="str">
            <v xml:space="preserve">Knopcilinder toepassen. </v>
          </cell>
          <cell r="B86">
            <v>88.2</v>
          </cell>
          <cell r="C86" t="str">
            <v>st</v>
          </cell>
        </row>
        <row r="87">
          <cell r="A87" t="str">
            <v>Brandoverslag berekening uitvoeren.</v>
          </cell>
          <cell r="B87">
            <v>1080</v>
          </cell>
          <cell r="C87" t="str">
            <v>post</v>
          </cell>
        </row>
        <row r="88">
          <cell r="A88" t="str">
            <v>Nader onderzoek uitvoeren.</v>
          </cell>
          <cell r="B88">
            <v>1260</v>
          </cell>
          <cell r="C88" t="str">
            <v>post</v>
          </cell>
        </row>
        <row r="89">
          <cell r="A89" t="str">
            <v>Vlamscherm plaatsen</v>
          </cell>
          <cell r="B89">
            <v>151.19999999999999</v>
          </cell>
          <cell r="C89" t="str">
            <v>m2</v>
          </cell>
        </row>
        <row r="90">
          <cell r="A90" t="str">
            <v>Dakconstructie preventief brandwerend afwerken/onderbreken</v>
          </cell>
          <cell r="B90">
            <v>94.5</v>
          </cell>
          <cell r="C90" t="str">
            <v>m2</v>
          </cell>
        </row>
        <row r="91">
          <cell r="A91" t="str">
            <v>Naden dichtkitten</v>
          </cell>
          <cell r="B91">
            <v>13.66</v>
          </cell>
          <cell r="C91" t="str">
            <v>m1</v>
          </cell>
        </row>
        <row r="92">
          <cell r="A92" t="str">
            <v>Vloerelementen reinigen</v>
          </cell>
          <cell r="B92">
            <v>105</v>
          </cell>
          <cell r="C92" t="str">
            <v>m2</v>
          </cell>
        </row>
        <row r="93">
          <cell r="A93" t="str">
            <v>Verdieping nummering aanbrengen</v>
          </cell>
          <cell r="B93">
            <v>105</v>
          </cell>
          <cell r="C93" t="str">
            <v>st</v>
          </cell>
        </row>
        <row r="94">
          <cell r="A94" t="str">
            <v>Waarschuwingsborden wegens struikelgevaar plaatsen</v>
          </cell>
          <cell r="B94">
            <v>105</v>
          </cell>
          <cell r="C94" t="str">
            <v>st</v>
          </cell>
        </row>
        <row r="95">
          <cell r="A95" t="str">
            <v>Windhaak verwijderen</v>
          </cell>
          <cell r="B95">
            <v>105</v>
          </cell>
          <cell r="C95" t="str">
            <v>st</v>
          </cell>
        </row>
        <row r="96">
          <cell r="A96" t="str">
            <v>Sparing afdichten</v>
          </cell>
          <cell r="B96">
            <v>140.38999999999999</v>
          </cell>
          <cell r="C96" t="str">
            <v>st</v>
          </cell>
        </row>
        <row r="97">
          <cell r="A97" t="str">
            <v xml:space="preserve">Brievenbus deur vervangen </v>
          </cell>
          <cell r="B97">
            <v>0</v>
          </cell>
          <cell r="C97" t="str">
            <v>st</v>
          </cell>
        </row>
        <row r="98">
          <cell r="A98" t="str">
            <v>Schilderen paneel</v>
          </cell>
          <cell r="B98">
            <v>41.25</v>
          </cell>
          <cell r="C98" t="str">
            <v>m2</v>
          </cell>
        </row>
        <row r="99">
          <cell r="A99" t="str">
            <v xml:space="preserve">Applicatiestickers aanbrengen </v>
          </cell>
          <cell r="B99">
            <v>105</v>
          </cell>
          <cell r="C99" t="str">
            <v>pw</v>
          </cell>
        </row>
        <row r="100">
          <cell r="A100" t="str">
            <v>Putty pad</v>
          </cell>
          <cell r="B100">
            <v>60</v>
          </cell>
          <cell r="C100" t="str">
            <v>st</v>
          </cell>
        </row>
        <row r="101">
          <cell r="A101" t="str">
            <v>Aantonen of het constructieonderdeel voldoet aan de gestelde eisen vanuit het Besluit bouwwerken leefomgeving.</v>
          </cell>
          <cell r="B101">
            <v>0</v>
          </cell>
        </row>
        <row r="102">
          <cell r="A102" t="str">
            <v>Kleefmagneet herstellen</v>
          </cell>
          <cell r="B102">
            <v>105</v>
          </cell>
          <cell r="C102" t="str">
            <v>st</v>
          </cell>
        </row>
        <row r="103">
          <cell r="A103" t="str">
            <v>Melding brandveilig gebruik aanleveren</v>
          </cell>
          <cell r="B103">
            <v>0</v>
          </cell>
        </row>
        <row r="104">
          <cell r="A104" t="str">
            <v>Deurdranger herstellen</v>
          </cell>
          <cell r="B104">
            <v>105</v>
          </cell>
          <cell r="C104" t="str">
            <v>st</v>
          </cell>
        </row>
        <row r="105">
          <cell r="A105" t="str">
            <v xml:space="preserve">Afscheiding creëren </v>
          </cell>
          <cell r="B105">
            <v>400</v>
          </cell>
          <cell r="C105" t="str">
            <v>st</v>
          </cell>
        </row>
        <row r="106">
          <cell r="A106" t="str">
            <v>Ontruimingsplattegrond maken</v>
          </cell>
          <cell r="B106">
            <v>750</v>
          </cell>
          <cell r="C106" t="str">
            <v>st</v>
          </cell>
        </row>
        <row r="107">
          <cell r="A107" t="str">
            <v>Wandconstructie vervangen</v>
          </cell>
          <cell r="B107">
            <v>72.8</v>
          </cell>
          <cell r="C107" t="str">
            <v>m2</v>
          </cell>
        </row>
        <row r="108">
          <cell r="A108"/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>
    <pageSetUpPr fitToPage="1"/>
  </sheetPr>
  <dimension ref="B1:AE25"/>
  <sheetViews>
    <sheetView tabSelected="1" zoomScale="85" zoomScaleNormal="85" workbookViewId="0">
      <pane ySplit="4" topLeftCell="A5" activePane="bottomLeft" state="frozen"/>
      <selection pane="bottomLeft" activeCell="F26" sqref="F26"/>
    </sheetView>
  </sheetViews>
  <sheetFormatPr defaultRowHeight="13.2" x14ac:dyDescent="0.25"/>
  <cols>
    <col min="2" max="2" width="17.77734375" customWidth="1"/>
    <col min="3" max="3" width="62.21875" style="2" customWidth="1"/>
    <col min="4" max="4" width="27.109375" style="3" customWidth="1"/>
    <col min="5" max="6" width="8.88671875" customWidth="1"/>
    <col min="7" max="7" width="16.44140625" style="16" bestFit="1" customWidth="1"/>
    <col min="8" max="8" width="15.44140625" style="16" customWidth="1"/>
    <col min="9" max="11" width="15.44140625" style="16" hidden="1" customWidth="1"/>
    <col min="12" max="12" width="16.6640625" hidden="1" customWidth="1"/>
    <col min="13" max="16" width="8.88671875" hidden="1" customWidth="1"/>
    <col min="17" max="17" width="10.33203125" hidden="1" customWidth="1"/>
    <col min="18" max="19" width="8.88671875" hidden="1" customWidth="1"/>
    <col min="20" max="20" width="10.33203125" hidden="1" customWidth="1"/>
    <col min="21" max="21" width="9" hidden="1" customWidth="1"/>
    <col min="22" max="22" width="11.6640625" hidden="1" customWidth="1"/>
    <col min="23" max="23" width="8.88671875" hidden="1" customWidth="1"/>
    <col min="24" max="25" width="21" hidden="1" customWidth="1"/>
    <col min="26" max="27" width="11.88671875" hidden="1" customWidth="1"/>
    <col min="28" max="28" width="10.88671875" hidden="1" customWidth="1"/>
    <col min="29" max="29" width="9.33203125" hidden="1" customWidth="1"/>
    <col min="30" max="30" width="8.88671875" hidden="1" customWidth="1"/>
    <col min="31" max="31" width="16.109375" hidden="1" customWidth="1"/>
    <col min="32" max="32" width="10.88671875" customWidth="1"/>
  </cols>
  <sheetData>
    <row r="1" spans="2:25" ht="15.6" x14ac:dyDescent="0.3">
      <c r="B1" s="1" t="s">
        <v>28</v>
      </c>
      <c r="D1" s="4"/>
    </row>
    <row r="2" spans="2:25" ht="15.6" x14ac:dyDescent="0.3">
      <c r="B2" s="4" t="s">
        <v>27</v>
      </c>
      <c r="C2" s="26"/>
      <c r="H2" s="21"/>
      <c r="I2" s="21"/>
      <c r="J2" s="21"/>
      <c r="K2" s="21"/>
    </row>
    <row r="3" spans="2:25" x14ac:dyDescent="0.25">
      <c r="H3" s="22"/>
      <c r="I3" s="22"/>
      <c r="J3" s="22"/>
      <c r="K3" s="22"/>
    </row>
    <row r="4" spans="2:25" x14ac:dyDescent="0.25">
      <c r="B4" s="43" t="s">
        <v>26</v>
      </c>
      <c r="C4" s="44" t="s">
        <v>0</v>
      </c>
      <c r="D4" s="45" t="s">
        <v>14</v>
      </c>
      <c r="E4" s="43" t="s">
        <v>1</v>
      </c>
      <c r="F4" s="43" t="s">
        <v>2</v>
      </c>
      <c r="G4" s="46" t="s">
        <v>3</v>
      </c>
      <c r="H4" s="46" t="s">
        <v>4</v>
      </c>
      <c r="I4" s="32"/>
      <c r="J4" s="32"/>
      <c r="K4" s="32"/>
      <c r="M4" s="25">
        <f>SUM(M5:M16)</f>
        <v>0</v>
      </c>
      <c r="Q4" t="s">
        <v>10</v>
      </c>
      <c r="R4" t="s">
        <v>12</v>
      </c>
      <c r="S4" t="s">
        <v>11</v>
      </c>
      <c r="T4" t="s">
        <v>13</v>
      </c>
      <c r="X4" t="s">
        <v>19</v>
      </c>
    </row>
    <row r="5" spans="2:25" x14ac:dyDescent="0.25">
      <c r="B5" s="8"/>
      <c r="C5" s="6"/>
      <c r="D5" s="7"/>
      <c r="E5" s="8"/>
      <c r="F5" s="8" t="e">
        <f>VLOOKUP($C5,'[1]huidige versie'!$A:$C,3,FALSE)</f>
        <v>#N/A</v>
      </c>
      <c r="G5" s="50" t="e">
        <f>VLOOKUP($C5,'[1]huidige versie'!$A:$C,2,FALSE)</f>
        <v>#N/A</v>
      </c>
      <c r="H5" s="23" t="e">
        <f>E5*G5</f>
        <v>#N/A</v>
      </c>
      <c r="M5" t="str">
        <f t="shared" ref="M5:M14" si="0">IF(L5="x",H5,"")</f>
        <v/>
      </c>
      <c r="Q5">
        <v>15</v>
      </c>
      <c r="R5">
        <v>0.2</v>
      </c>
      <c r="S5" s="16">
        <f t="shared" ref="S5:S14" si="1">R5*$H$3</f>
        <v>0</v>
      </c>
      <c r="T5" s="16">
        <f t="shared" ref="T5:T14" si="2">SUM(Q5,S5)</f>
        <v>15</v>
      </c>
      <c r="X5" s="31"/>
      <c r="Y5" s="31"/>
    </row>
    <row r="6" spans="2:25" x14ac:dyDescent="0.25">
      <c r="B6" s="8"/>
      <c r="C6" s="6"/>
      <c r="D6" s="7"/>
      <c r="E6" s="8"/>
      <c r="F6" s="8" t="e">
        <f>VLOOKUP($C6,'[1]huidige versie'!$A:$C,3,FALSE)</f>
        <v>#N/A</v>
      </c>
      <c r="G6" s="50" t="e">
        <f>VLOOKUP($C6,'[1]huidige versie'!$A:$C,2,FALSE)</f>
        <v>#N/A</v>
      </c>
      <c r="H6" s="23" t="e">
        <f t="shared" ref="H6" si="3">E6*G6</f>
        <v>#N/A</v>
      </c>
      <c r="S6" s="16"/>
      <c r="T6" s="16"/>
      <c r="X6" s="31"/>
      <c r="Y6" s="31"/>
    </row>
    <row r="7" spans="2:25" x14ac:dyDescent="0.25">
      <c r="B7" s="8"/>
      <c r="C7" s="6"/>
      <c r="D7" s="7"/>
      <c r="E7" s="8"/>
      <c r="F7" s="8" t="e">
        <f>VLOOKUP($C7,'[1]huidige versie'!$A:$C,3,FALSE)</f>
        <v>#N/A</v>
      </c>
      <c r="G7" s="50" t="e">
        <f>VLOOKUP($C7,'[1]huidige versie'!$A:$C,2,FALSE)</f>
        <v>#N/A</v>
      </c>
      <c r="H7" s="23" t="e">
        <f t="shared" ref="H7:H8" si="4">E7*G7</f>
        <v>#N/A</v>
      </c>
      <c r="S7" s="16"/>
      <c r="T7" s="16"/>
      <c r="X7" s="31"/>
      <c r="Y7" s="31"/>
    </row>
    <row r="8" spans="2:25" x14ac:dyDescent="0.25">
      <c r="B8" s="8"/>
      <c r="C8" s="6"/>
      <c r="D8" s="7"/>
      <c r="E8" s="8"/>
      <c r="F8" s="8" t="e">
        <f>VLOOKUP($C8,'[1]huidige versie'!$A:$C,3,FALSE)</f>
        <v>#N/A</v>
      </c>
      <c r="G8" s="50" t="e">
        <f>VLOOKUP($C8,'[1]huidige versie'!$A:$C,2,FALSE)</f>
        <v>#N/A</v>
      </c>
      <c r="H8" s="23" t="e">
        <f t="shared" si="4"/>
        <v>#N/A</v>
      </c>
      <c r="S8" s="16"/>
      <c r="T8" s="16"/>
      <c r="X8" s="31"/>
      <c r="Y8" s="31"/>
    </row>
    <row r="9" spans="2:25" x14ac:dyDescent="0.25">
      <c r="B9" s="8"/>
      <c r="C9" s="6"/>
      <c r="D9" s="7"/>
      <c r="E9" s="8"/>
      <c r="F9" s="8" t="e">
        <f>VLOOKUP($C9,'[1]huidige versie'!$A:$C,3,FALSE)</f>
        <v>#N/A</v>
      </c>
      <c r="G9" s="50" t="e">
        <f>VLOOKUP($C9,'[1]huidige versie'!$A:$C,2,FALSE)</f>
        <v>#N/A</v>
      </c>
      <c r="H9" s="23" t="e">
        <f t="shared" ref="H9:H10" si="5">E9*G9</f>
        <v>#N/A</v>
      </c>
      <c r="S9" s="16"/>
      <c r="T9" s="16"/>
      <c r="X9" s="31"/>
      <c r="Y9" s="31"/>
    </row>
    <row r="10" spans="2:25" x14ac:dyDescent="0.25">
      <c r="B10" s="8"/>
      <c r="C10" s="6"/>
      <c r="D10" s="7"/>
      <c r="E10" s="8"/>
      <c r="F10" s="8" t="e">
        <f>VLOOKUP($C10,'[1]huidige versie'!$A:$C,3,FALSE)</f>
        <v>#N/A</v>
      </c>
      <c r="G10" s="50" t="e">
        <f>VLOOKUP($C10,'[1]huidige versie'!$A:$C,2,FALSE)</f>
        <v>#N/A</v>
      </c>
      <c r="H10" s="23" t="e">
        <f t="shared" si="5"/>
        <v>#N/A</v>
      </c>
      <c r="S10" s="16"/>
      <c r="T10" s="16"/>
      <c r="X10" s="31"/>
      <c r="Y10" s="31"/>
    </row>
    <row r="11" spans="2:25" x14ac:dyDescent="0.25">
      <c r="B11" s="29"/>
      <c r="C11" s="27"/>
      <c r="D11" s="28"/>
      <c r="E11" s="29"/>
      <c r="F11" s="29"/>
      <c r="G11" s="30"/>
      <c r="H11" s="30" t="e">
        <f>SUM(H5:H10)</f>
        <v>#N/A</v>
      </c>
      <c r="I11" s="33"/>
      <c r="J11" s="33"/>
      <c r="K11" s="33"/>
      <c r="M11" t="str">
        <f t="shared" si="0"/>
        <v/>
      </c>
      <c r="Q11">
        <v>27</v>
      </c>
      <c r="R11">
        <v>0.25</v>
      </c>
      <c r="S11" s="16">
        <f t="shared" si="1"/>
        <v>0</v>
      </c>
      <c r="T11" s="16">
        <f t="shared" si="2"/>
        <v>27</v>
      </c>
      <c r="X11" s="31">
        <v>10485</v>
      </c>
      <c r="Y11" s="31"/>
    </row>
    <row r="12" spans="2:25" x14ac:dyDescent="0.25">
      <c r="B12" s="8"/>
      <c r="C12" s="6" t="s">
        <v>25</v>
      </c>
      <c r="D12" s="7"/>
      <c r="E12" s="8"/>
      <c r="F12" s="8" t="e">
        <f>VLOOKUP($C12,'[1]huidige versie'!$A:$C,3,FALSE)</f>
        <v>#N/A</v>
      </c>
      <c r="G12" s="50" t="e">
        <f>VLOOKUP($C12,'[1]huidige versie'!$A:$C,2,FALSE)</f>
        <v>#N/A</v>
      </c>
      <c r="H12" s="23" t="e">
        <f>E12*G12</f>
        <v>#N/A</v>
      </c>
      <c r="M12" t="str">
        <f t="shared" si="0"/>
        <v/>
      </c>
      <c r="Q12">
        <v>15</v>
      </c>
      <c r="R12">
        <v>0.2</v>
      </c>
      <c r="S12" s="16">
        <f t="shared" si="1"/>
        <v>0</v>
      </c>
      <c r="T12" s="16">
        <f t="shared" si="2"/>
        <v>15</v>
      </c>
      <c r="X12" s="31"/>
      <c r="Y12" s="31"/>
    </row>
    <row r="13" spans="2:25" x14ac:dyDescent="0.25">
      <c r="B13" s="8"/>
      <c r="C13" s="6"/>
      <c r="D13" s="7"/>
      <c r="E13" s="8"/>
      <c r="F13" s="8" t="e">
        <f>VLOOKUP($C13,'[1]huidige versie'!$A:$C,3,FALSE)</f>
        <v>#N/A</v>
      </c>
      <c r="G13" s="50" t="e">
        <f>VLOOKUP($C13,'[1]huidige versie'!$A:$C,2,FALSE)</f>
        <v>#N/A</v>
      </c>
      <c r="H13" s="23" t="e">
        <f t="shared" ref="H13:H15" si="6">E13*G13</f>
        <v>#N/A</v>
      </c>
      <c r="M13" t="str">
        <f t="shared" si="0"/>
        <v/>
      </c>
      <c r="Q13">
        <v>15</v>
      </c>
      <c r="R13">
        <v>0.2</v>
      </c>
      <c r="S13" s="16">
        <f t="shared" si="1"/>
        <v>0</v>
      </c>
      <c r="T13" s="16">
        <f t="shared" si="2"/>
        <v>15</v>
      </c>
      <c r="X13" s="31"/>
      <c r="Y13" s="31"/>
    </row>
    <row r="14" spans="2:25" x14ac:dyDescent="0.25">
      <c r="B14" s="8"/>
      <c r="C14" s="6" t="s">
        <v>25</v>
      </c>
      <c r="D14" s="7"/>
      <c r="E14" s="8"/>
      <c r="F14" s="8" t="e">
        <f>VLOOKUP($C14,'[1]huidige versie'!$A:$C,3,FALSE)</f>
        <v>#N/A</v>
      </c>
      <c r="G14" s="50" t="e">
        <f>VLOOKUP($C14,'[1]huidige versie'!$A:$C,2,FALSE)</f>
        <v>#N/A</v>
      </c>
      <c r="H14" s="23" t="e">
        <f t="shared" si="6"/>
        <v>#N/A</v>
      </c>
      <c r="M14" t="str">
        <f t="shared" si="0"/>
        <v/>
      </c>
      <c r="Q14">
        <v>15</v>
      </c>
      <c r="R14">
        <v>0.2</v>
      </c>
      <c r="S14" s="16">
        <f t="shared" si="1"/>
        <v>0</v>
      </c>
      <c r="T14" s="16">
        <f t="shared" si="2"/>
        <v>15</v>
      </c>
      <c r="X14" s="31"/>
      <c r="Y14" s="31"/>
    </row>
    <row r="15" spans="2:25" x14ac:dyDescent="0.25">
      <c r="B15" s="8"/>
      <c r="C15" s="6" t="s">
        <v>25</v>
      </c>
      <c r="D15" s="7"/>
      <c r="E15" s="8"/>
      <c r="F15" s="8" t="e">
        <f>VLOOKUP($C15,'[1]huidige versie'!$A:$C,3,FALSE)</f>
        <v>#N/A</v>
      </c>
      <c r="G15" s="50" t="e">
        <f>VLOOKUP($C15,'[1]huidige versie'!$A:$C,2,FALSE)</f>
        <v>#N/A</v>
      </c>
      <c r="H15" s="23" t="e">
        <f t="shared" si="6"/>
        <v>#N/A</v>
      </c>
      <c r="M15" t="str">
        <f t="shared" ref="M15:M16" si="7">IF(L15="x",H15,"")</f>
        <v/>
      </c>
      <c r="Q15">
        <v>15</v>
      </c>
      <c r="R15">
        <v>0.2</v>
      </c>
      <c r="S15" s="16">
        <f t="shared" ref="S15:S16" si="8">R15*$H$3</f>
        <v>0</v>
      </c>
      <c r="T15" s="16">
        <f t="shared" ref="T15:T16" si="9">SUM(Q15,S15)</f>
        <v>15</v>
      </c>
      <c r="X15" s="31"/>
      <c r="Y15" s="31"/>
    </row>
    <row r="16" spans="2:25" x14ac:dyDescent="0.25">
      <c r="B16" s="29"/>
      <c r="C16" s="27"/>
      <c r="D16" s="28"/>
      <c r="E16" s="29"/>
      <c r="F16" s="29"/>
      <c r="G16" s="30"/>
      <c r="H16" s="30" t="e">
        <f>SUM(H12:H15)</f>
        <v>#N/A</v>
      </c>
      <c r="I16" s="33"/>
      <c r="J16" s="33"/>
      <c r="K16" s="33"/>
      <c r="M16" t="str">
        <f t="shared" si="7"/>
        <v/>
      </c>
      <c r="Q16">
        <v>27</v>
      </c>
      <c r="R16">
        <v>0.25</v>
      </c>
      <c r="S16" s="16">
        <f t="shared" si="8"/>
        <v>0</v>
      </c>
      <c r="T16" s="16">
        <f t="shared" si="9"/>
        <v>27</v>
      </c>
      <c r="X16" s="31">
        <v>10485</v>
      </c>
      <c r="Y16" s="31"/>
    </row>
    <row r="17" spans="2:30" x14ac:dyDescent="0.25">
      <c r="B17" s="11"/>
      <c r="C17" s="9"/>
      <c r="D17" s="10"/>
      <c r="E17" s="11"/>
      <c r="F17" s="11"/>
      <c r="G17" s="24"/>
      <c r="H17" s="24" t="e">
        <f>SUM(H16+H11)</f>
        <v>#N/A</v>
      </c>
      <c r="I17" s="34"/>
      <c r="J17" s="34"/>
      <c r="K17" s="34"/>
      <c r="L17" s="16" t="e">
        <f>SUM(H5:H17)</f>
        <v>#N/A</v>
      </c>
      <c r="S17" s="16">
        <f t="shared" ref="S17:S23" si="10">R17*$H$3</f>
        <v>0</v>
      </c>
      <c r="T17" s="16">
        <f t="shared" ref="T17:T23" si="11">SUM(Q17,S17)</f>
        <v>0</v>
      </c>
      <c r="X17" s="31"/>
      <c r="Y17" s="31"/>
    </row>
    <row r="18" spans="2:30" s="5" customFormat="1" x14ac:dyDescent="0.25">
      <c r="B18" s="12" t="s">
        <v>6</v>
      </c>
      <c r="C18" s="12" t="s">
        <v>8</v>
      </c>
      <c r="D18" s="13"/>
      <c r="E18" s="12"/>
      <c r="F18" s="12"/>
      <c r="G18" s="40">
        <f t="shared" ref="G18:G22" si="12">T18</f>
        <v>0</v>
      </c>
      <c r="H18" s="19" t="e">
        <f>H11+H16</f>
        <v>#N/A</v>
      </c>
      <c r="I18" s="37"/>
      <c r="J18" s="37"/>
      <c r="K18" s="37"/>
      <c r="S18" s="16">
        <f t="shared" si="10"/>
        <v>0</v>
      </c>
      <c r="T18" s="16">
        <f t="shared" si="11"/>
        <v>0</v>
      </c>
      <c r="X18" s="41">
        <f>SUM(X5:X17)</f>
        <v>20970</v>
      </c>
      <c r="Y18" s="41"/>
    </row>
    <row r="19" spans="2:30" s="5" customFormat="1" x14ac:dyDescent="0.25">
      <c r="B19" s="8" t="s">
        <v>6</v>
      </c>
      <c r="C19" s="6" t="s">
        <v>17</v>
      </c>
      <c r="D19" s="7"/>
      <c r="E19" s="12">
        <v>1</v>
      </c>
      <c r="F19" s="12" t="s">
        <v>5</v>
      </c>
      <c r="G19" s="40" t="e">
        <f>T19</f>
        <v>#N/A</v>
      </c>
      <c r="H19" s="17" t="e">
        <f>E19*G19</f>
        <v>#N/A</v>
      </c>
      <c r="I19" s="35"/>
      <c r="J19" s="35"/>
      <c r="K19" s="35"/>
      <c r="L19"/>
      <c r="M19"/>
      <c r="N19"/>
      <c r="O19"/>
      <c r="P19">
        <v>0.05</v>
      </c>
      <c r="Q19" s="16" t="e">
        <f>P19*L17</f>
        <v>#N/A</v>
      </c>
      <c r="R19"/>
      <c r="S19" s="16">
        <f>R19*$H$3</f>
        <v>0</v>
      </c>
      <c r="T19" s="16" t="e">
        <f>SUM(Q19,S19)</f>
        <v>#N/A</v>
      </c>
      <c r="U19"/>
      <c r="V19" s="31">
        <f>SUM(V5:V17)</f>
        <v>0</v>
      </c>
      <c r="X19" s="41"/>
      <c r="Y19" s="41"/>
      <c r="Z19" s="5" t="s">
        <v>23</v>
      </c>
      <c r="AA19" s="5" t="s">
        <v>24</v>
      </c>
      <c r="AB19" s="5" t="s">
        <v>24</v>
      </c>
      <c r="AC19" s="5" t="s">
        <v>24</v>
      </c>
    </row>
    <row r="20" spans="2:30" x14ac:dyDescent="0.25">
      <c r="B20" s="8" t="s">
        <v>6</v>
      </c>
      <c r="C20" s="6" t="s">
        <v>18</v>
      </c>
      <c r="D20" s="7"/>
      <c r="E20" s="39">
        <v>10</v>
      </c>
      <c r="F20" s="8" t="s">
        <v>7</v>
      </c>
      <c r="G20" s="40">
        <f t="shared" si="12"/>
        <v>0</v>
      </c>
      <c r="H20" s="17" t="e">
        <f>H18/10</f>
        <v>#N/A</v>
      </c>
      <c r="I20" s="35"/>
      <c r="J20" s="35"/>
      <c r="K20" s="35"/>
      <c r="S20" s="16">
        <f t="shared" si="10"/>
        <v>0</v>
      </c>
      <c r="T20" s="16">
        <f t="shared" si="11"/>
        <v>0</v>
      </c>
      <c r="V20" s="16"/>
      <c r="X20" s="31">
        <f>SUM(Z20:AC20)</f>
        <v>14634.97</v>
      </c>
      <c r="Y20" s="31"/>
      <c r="Z20" s="31">
        <v>11439.71</v>
      </c>
      <c r="AA20" s="31">
        <v>3195.26</v>
      </c>
      <c r="AB20" s="31"/>
      <c r="AC20" s="31"/>
      <c r="AD20" t="s">
        <v>21</v>
      </c>
    </row>
    <row r="21" spans="2:30" x14ac:dyDescent="0.25">
      <c r="B21" s="8" t="s">
        <v>6</v>
      </c>
      <c r="C21" s="6" t="s">
        <v>16</v>
      </c>
      <c r="D21" s="7"/>
      <c r="E21" s="8">
        <v>10</v>
      </c>
      <c r="F21" s="8" t="s">
        <v>7</v>
      </c>
      <c r="G21" s="40">
        <f t="shared" si="12"/>
        <v>0</v>
      </c>
      <c r="H21" s="17" t="e">
        <f>H18*0.1</f>
        <v>#N/A</v>
      </c>
      <c r="I21" s="17"/>
      <c r="J21" s="17"/>
      <c r="K21" s="17"/>
      <c r="L21" s="23" t="e">
        <f>SUM(H18:H21)</f>
        <v>#N/A</v>
      </c>
      <c r="S21" s="16">
        <f t="shared" si="10"/>
        <v>0</v>
      </c>
      <c r="T21" s="16">
        <f t="shared" si="11"/>
        <v>0</v>
      </c>
      <c r="X21" s="31">
        <f>SUM(Z21:AC21)</f>
        <v>22809.69</v>
      </c>
      <c r="Y21" s="31"/>
      <c r="Z21" s="31">
        <v>17828.48</v>
      </c>
      <c r="AA21" s="31">
        <v>3356.02</v>
      </c>
      <c r="AB21" s="31">
        <v>1409.53</v>
      </c>
      <c r="AC21" s="31">
        <v>215.66</v>
      </c>
      <c r="AD21" t="s">
        <v>20</v>
      </c>
    </row>
    <row r="22" spans="2:30" x14ac:dyDescent="0.25">
      <c r="B22" s="8" t="s">
        <v>6</v>
      </c>
      <c r="C22" s="6" t="s">
        <v>15</v>
      </c>
      <c r="D22" s="7"/>
      <c r="E22" s="8">
        <v>21</v>
      </c>
      <c r="F22" s="8" t="s">
        <v>7</v>
      </c>
      <c r="G22" s="40">
        <f t="shared" si="12"/>
        <v>0</v>
      </c>
      <c r="H22" s="17" t="e">
        <f>SUM(H18:H21)*0.21</f>
        <v>#N/A</v>
      </c>
      <c r="I22" s="35"/>
      <c r="J22" s="35"/>
      <c r="K22" s="35"/>
      <c r="S22" s="16">
        <f t="shared" si="10"/>
        <v>0</v>
      </c>
      <c r="T22" s="16">
        <f t="shared" si="11"/>
        <v>0</v>
      </c>
      <c r="X22" s="31">
        <f>SUM(Z22:AC22)</f>
        <v>69334.48</v>
      </c>
      <c r="Y22" s="31"/>
      <c r="Z22" s="31">
        <v>54193.13</v>
      </c>
      <c r="AA22" s="31">
        <v>15141.35</v>
      </c>
      <c r="AB22" s="31"/>
      <c r="AC22" s="31"/>
      <c r="AD22" t="s">
        <v>22</v>
      </c>
    </row>
    <row r="23" spans="2:30" x14ac:dyDescent="0.25">
      <c r="B23" s="11"/>
      <c r="C23" s="9"/>
      <c r="D23" s="10"/>
      <c r="E23" s="11"/>
      <c r="F23" s="11"/>
      <c r="G23" s="18"/>
      <c r="H23" s="18"/>
      <c r="I23" s="36"/>
      <c r="J23" s="36"/>
      <c r="K23" s="36"/>
      <c r="S23" s="16">
        <f t="shared" si="10"/>
        <v>0</v>
      </c>
      <c r="T23" s="16">
        <f t="shared" si="11"/>
        <v>0</v>
      </c>
      <c r="X23" s="31"/>
      <c r="Y23" s="31"/>
    </row>
    <row r="24" spans="2:30" s="1" customFormat="1" ht="15.6" x14ac:dyDescent="0.3">
      <c r="B24" s="14" t="s">
        <v>6</v>
      </c>
      <c r="C24" s="14" t="s">
        <v>9</v>
      </c>
      <c r="D24" s="15"/>
      <c r="E24" s="14"/>
      <c r="F24" s="14"/>
      <c r="G24" s="20"/>
      <c r="H24" s="47" t="e">
        <f>SUM(H18:H22)</f>
        <v>#N/A</v>
      </c>
      <c r="I24" s="38"/>
      <c r="J24" s="38"/>
      <c r="K24" s="38"/>
      <c r="X24" s="42">
        <f>SUM(X18:X23)</f>
        <v>127749.14</v>
      </c>
      <c r="Y24" s="42"/>
    </row>
    <row r="25" spans="2:30" ht="15.6" x14ac:dyDescent="0.3">
      <c r="X25" s="42"/>
      <c r="Y25" s="42"/>
    </row>
  </sheetData>
  <autoFilter ref="B4:H22" xr:uid="{00000000-0009-0000-0000-000000000000}"/>
  <phoneticPr fontId="3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296868-5174-49BD-8BB6-93813CC4CC97}">
          <x14:formula1>
            <xm:f>Blad2!$A:$A</xm:f>
          </x14:formula1>
          <xm:sqref>C5:C16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/>
  <dimension ref="A1:H141"/>
  <sheetViews>
    <sheetView topLeftCell="A80" workbookViewId="0">
      <selection activeCell="B121" sqref="B121"/>
    </sheetView>
  </sheetViews>
  <sheetFormatPr defaultRowHeight="13.2" x14ac:dyDescent="0.25"/>
  <cols>
    <col min="1" max="1" width="58.5546875" customWidth="1"/>
    <col min="2" max="2" width="19.44140625" customWidth="1"/>
    <col min="3" max="3" width="10.88671875" customWidth="1"/>
    <col min="5" max="5" width="10.6640625" bestFit="1" customWidth="1"/>
    <col min="8" max="8" width="37.6640625" style="49" customWidth="1"/>
  </cols>
  <sheetData>
    <row r="1" spans="1:8" x14ac:dyDescent="0.25">
      <c r="A1" s="48" t="str">
        <f>'[1]huidige versie'!$A1</f>
        <v>Draadglas vervangen voor aantoonbaar 30  min. WBDBO.</v>
      </c>
      <c r="H1"/>
    </row>
    <row r="2" spans="1:8" x14ac:dyDescent="0.25">
      <c r="A2" s="48" t="str">
        <f>'[1]huidige versie'!$A2</f>
        <v>Draadglas vervangen voor aantoonbaar 60  min. WBDBO.</v>
      </c>
      <c r="H2"/>
    </row>
    <row r="3" spans="1:8" x14ac:dyDescent="0.25">
      <c r="A3" s="48" t="str">
        <f>'[1]huidige versie'!$A3</f>
        <v>Glas vervangen voor brandwerend glas met een WBDBO 30 min.</v>
      </c>
      <c r="H3"/>
    </row>
    <row r="4" spans="1:8" x14ac:dyDescent="0.25">
      <c r="A4" s="48" t="str">
        <f>'[1]huidige versie'!$A4</f>
        <v>Glas vervangen voor brandwerend glas met een WBDBO 60 min.</v>
      </c>
      <c r="H4"/>
    </row>
    <row r="5" spans="1:8" x14ac:dyDescent="0.25">
      <c r="A5" s="48" t="str">
        <f>'[1]huidige versie'!$A5</f>
        <v>Promatecplaat toepassen in kozijn</v>
      </c>
      <c r="H5"/>
    </row>
    <row r="6" spans="1:8" x14ac:dyDescent="0.25">
      <c r="A6" s="48" t="str">
        <f>'[1]huidige versie'!$A6</f>
        <v>Mechanische deurdranger toepassen</v>
      </c>
      <c r="H6"/>
    </row>
    <row r="7" spans="1:8" x14ac:dyDescent="0.25">
      <c r="A7" s="48" t="str">
        <f>'[1]huidige versie'!$A7</f>
        <v>Deurdranger vervangen.</v>
      </c>
      <c r="H7"/>
    </row>
    <row r="8" spans="1:8" x14ac:dyDescent="0.25">
      <c r="A8" s="48" t="str">
        <f>'[1]huidige versie'!$A8</f>
        <v>Deurdranger met sensor toepassen.</v>
      </c>
      <c r="H8"/>
    </row>
    <row r="9" spans="1:8" x14ac:dyDescent="0.25">
      <c r="A9" s="48" t="str">
        <f>'[1]huidige versie'!$A9</f>
        <v>Deurdranger met sleutelschakelaar toepassen.</v>
      </c>
      <c r="H9"/>
    </row>
    <row r="10" spans="1:8" x14ac:dyDescent="0.25">
      <c r="A10" s="48" t="str">
        <f>'[1]huidige versie'!$A10</f>
        <v>Deurdranger met knop toepassen.</v>
      </c>
      <c r="H10"/>
    </row>
    <row r="11" spans="1:8" x14ac:dyDescent="0.25">
      <c r="A11" s="48" t="str">
        <f>'[1]huidige versie'!$A11</f>
        <v>Sluitkracht dranger aanpassen.</v>
      </c>
      <c r="H11"/>
    </row>
    <row r="12" spans="1:8" x14ac:dyDescent="0.25">
      <c r="A12" s="48" t="str">
        <f>'[1]huidige versie'!$A12</f>
        <v xml:space="preserve">Vrijloopdranger toepassen. </v>
      </c>
      <c r="H12"/>
    </row>
    <row r="13" spans="1:8" x14ac:dyDescent="0.25">
      <c r="A13" s="48" t="str">
        <f>'[1]huidige versie'!$A13</f>
        <v>Vrijloopdranger aansturing (via de BMI)</v>
      </c>
      <c r="H13"/>
    </row>
    <row r="14" spans="1:8" x14ac:dyDescent="0.25">
      <c r="A14" s="48" t="str">
        <f>'[1]huidige versie'!$A14</f>
        <v>Vrijloopdranger aansturing (RF rookmelder incl. schakeling)</v>
      </c>
      <c r="H14"/>
    </row>
    <row r="15" spans="1:8" ht="26.4" x14ac:dyDescent="0.25">
      <c r="A15" s="48" t="str">
        <f>'[1]huidige versie'!$A15</f>
        <v>Vrijloopdranger controleren, onderhouden en voorzien van een keuringssticker</v>
      </c>
      <c r="H15"/>
    </row>
    <row r="16" spans="1:8" x14ac:dyDescent="0.25">
      <c r="A16" s="48" t="str">
        <f>'[1]huidige versie'!$A16</f>
        <v>Elektrische deurdranger toepassen</v>
      </c>
      <c r="H16"/>
    </row>
    <row r="17" spans="1:8" ht="26.4" x14ac:dyDescent="0.25">
      <c r="A17" s="48" t="str">
        <f>'[1]huidige versie'!$A17</f>
        <v xml:space="preserve">Automatische schuifdeur onderhouden en voorzien van een keuringssticker. </v>
      </c>
      <c r="H17"/>
    </row>
    <row r="18" spans="1:8" x14ac:dyDescent="0.25">
      <c r="A18" s="48" t="str">
        <f>'[1]huidige versie'!$A18</f>
        <v xml:space="preserve">Deur afhangen zodat de naden &lt;3 mm. zijn. </v>
      </c>
      <c r="H18"/>
    </row>
    <row r="19" spans="1:8" x14ac:dyDescent="0.25">
      <c r="A19" s="48" t="str">
        <f>'[1]huidige versie'!$A19</f>
        <v xml:space="preserve">Deur verlengen zodat de naad &lt;6 mm. is. </v>
      </c>
      <c r="H19"/>
    </row>
    <row r="20" spans="1:8" ht="26.4" x14ac:dyDescent="0.25">
      <c r="A20" s="48" t="str">
        <f>'[1]huidige versie'!$A20</f>
        <v xml:space="preserve">Deur voorzien van bij brand opschuimende strips zodat de gestelde brandwerendheidseis wordt behaald. </v>
      </c>
      <c r="H20"/>
    </row>
    <row r="21" spans="1:8" ht="26.4" x14ac:dyDescent="0.25">
      <c r="A21" s="48" t="str">
        <f>'[1]huidige versie'!$A21</f>
        <v xml:space="preserve">Sponning aanpassen naar &gt;25 mm. zodat de gestelde brandwerendheidseis wordt behaald. </v>
      </c>
      <c r="H21"/>
    </row>
    <row r="22" spans="1:8" x14ac:dyDescent="0.25">
      <c r="A22" s="48" t="str">
        <f>'[1]huidige versie'!$A22</f>
        <v>Brandwerende deurnaald vervangen</v>
      </c>
      <c r="H22"/>
    </row>
    <row r="23" spans="1:8" x14ac:dyDescent="0.25">
      <c r="A23" s="48" t="str">
        <f>'[1]huidige versie'!$A23</f>
        <v>Vervangen/toepassen schopplaat</v>
      </c>
      <c r="H23"/>
    </row>
    <row r="24" spans="1:8" ht="26.4" x14ac:dyDescent="0.25">
      <c r="A24" s="48" t="str">
        <f>'[1]huidige versie'!$A24</f>
        <v xml:space="preserve">Glaslatten vervangen zodat de onderlinge afstand van schroeven &lt;250 mm. is.  </v>
      </c>
      <c r="H24"/>
    </row>
    <row r="25" spans="1:8" ht="26.4" x14ac:dyDescent="0.25">
      <c r="A25" s="48" t="str">
        <f>'[1]huidige versie'!$A25</f>
        <v xml:space="preserve">Glaslatten vervangen zodat de onderlinge afstand van spijkers &lt;100 mm. is.  </v>
      </c>
      <c r="H25"/>
    </row>
    <row r="26" spans="1:8" x14ac:dyDescent="0.25">
      <c r="A26" s="48" t="str">
        <f>'[1]huidige versie'!$A26</f>
        <v xml:space="preserve">Dichte deur vervangen door schilderdeur deur. </v>
      </c>
      <c r="H26"/>
    </row>
    <row r="27" spans="1:8" x14ac:dyDescent="0.25">
      <c r="A27" s="48" t="str">
        <f>'[1]huidige versie'!$A27</f>
        <v xml:space="preserve">Dichte deur vervangen door HPL deur. </v>
      </c>
      <c r="H27"/>
    </row>
    <row r="28" spans="1:8" x14ac:dyDescent="0.25">
      <c r="A28" s="48" t="str">
        <f>'[1]huidige versie'!$A28</f>
        <v>Deur met glasopening vervangen</v>
      </c>
      <c r="H28"/>
    </row>
    <row r="29" spans="1:8" x14ac:dyDescent="0.25">
      <c r="A29" s="48" t="str">
        <f>'[1]huidige versie'!$A29</f>
        <v>Deur- en kozijn vervangen door schilderdeur en hardhouten kozijn</v>
      </c>
      <c r="H29"/>
    </row>
    <row r="30" spans="1:8" x14ac:dyDescent="0.25">
      <c r="A30" s="48" t="str">
        <f>'[1]huidige versie'!$A30</f>
        <v xml:space="preserve">Deur- en kozijn vervangen door HPL deur + hardhouten kozijn. </v>
      </c>
      <c r="H30"/>
    </row>
    <row r="31" spans="1:8" x14ac:dyDescent="0.25">
      <c r="A31" s="48" t="str">
        <f>'[1]huidige versie'!$A31</f>
        <v>Deur met glasopening- en kozijn vervangen</v>
      </c>
      <c r="H31"/>
    </row>
    <row r="32" spans="1:8" x14ac:dyDescent="0.25">
      <c r="A32" s="48" t="str">
        <f>'[1]huidige versie'!$A32</f>
        <v>Deur- en kozijn vervangen door extra brede deur.</v>
      </c>
      <c r="H32"/>
    </row>
    <row r="33" spans="1:1" x14ac:dyDescent="0.25">
      <c r="A33" s="48" t="str">
        <f>'[1]huidige versie'!$A33</f>
        <v>Vervangen woningstoegangsdeuren</v>
      </c>
    </row>
    <row r="34" spans="1:1" ht="26.4" x14ac:dyDescent="0.25">
      <c r="A34" s="48" t="str">
        <f>'[1]huidige versie'!$A34</f>
        <v>De koof 60 min. brandwerend afwerken zodat de kans op branddoorslag naar de omliggende ruimtes wordt beperkt.</v>
      </c>
    </row>
    <row r="35" spans="1:1" ht="26.4" x14ac:dyDescent="0.25">
      <c r="A35" s="48" t="str">
        <f>'[1]huidige versie'!$A35</f>
        <v>De koof 30 min. brandwerend afwerken zodat de kans op branddoorslag naar de omliggende ruimtes wordt beperkt.</v>
      </c>
    </row>
    <row r="36" spans="1:1" ht="26.4" x14ac:dyDescent="0.25">
      <c r="A36" s="48" t="str">
        <f>'[1]huidige versie'!$A36</f>
        <v>De schacht 60 min. brandwerend afwerken zodat de kans op branddoorslag naar de omliggende ruimtes wordt beperkt.</v>
      </c>
    </row>
    <row r="37" spans="1:1" ht="26.4" x14ac:dyDescent="0.25">
      <c r="A37" s="48" t="str">
        <f>'[1]huidige versie'!$A37</f>
        <v>De schacht 30 min. brandwerend afwerken zodat de kans op branddoorslag naar de omliggende ruimtes wordt beperkt.</v>
      </c>
    </row>
    <row r="38" spans="1:1" ht="26.4" x14ac:dyDescent="0.25">
      <c r="A38" s="48" t="str">
        <f>'[1]huidige versie'!$A38</f>
        <v>De doorvoeren die de brandscheiding doorbreken preventief brandwerend afwerken (VWA + Hyg.kap)</v>
      </c>
    </row>
    <row r="39" spans="1:1" ht="26.4" x14ac:dyDescent="0.25">
      <c r="A39" s="48" t="str">
        <f>'[1]huidige versie'!$A39</f>
        <v>De doorvoeren die de brandscheiding doorbreken preventief brandwerend afwerken (RGA)</v>
      </c>
    </row>
    <row r="40" spans="1:1" ht="26.4" x14ac:dyDescent="0.25">
      <c r="A40" s="48" t="str">
        <f>'[1]huidige versie'!$A40</f>
        <v>De doorvoeren die de brandscheiding doorbreken preventief brandwerend afwerken. (meterkast)</v>
      </c>
    </row>
    <row r="41" spans="1:1" ht="26.4" x14ac:dyDescent="0.25">
      <c r="A41" s="48" t="str">
        <f>'[1]huidige versie'!$A41</f>
        <v>De doorvoeren die de brandscheiding doorbreken preventief brandwerend afwerken (&lt; 22mm.)</v>
      </c>
    </row>
    <row r="42" spans="1:1" ht="26.4" x14ac:dyDescent="0.25">
      <c r="A42" s="48" t="str">
        <f>'[1]huidige versie'!$A42</f>
        <v>De doorvoeren die de brandscheiding doorbreken preventief brandwerend afwerken (&gt; 22mm.)</v>
      </c>
    </row>
    <row r="43" spans="1:1" ht="26.4" x14ac:dyDescent="0.25">
      <c r="A43" s="48" t="str">
        <f>'[1]huidige versie'!$A43</f>
        <v>De doorvoeren die de brandscheiding doorbreken preventief brandwerend afwerken (verwarmingsbuizen)</v>
      </c>
    </row>
    <row r="44" spans="1:1" ht="26.4" x14ac:dyDescent="0.25">
      <c r="A44" s="48" t="str">
        <f>'[1]huidige versie'!$A44</f>
        <v>Ventilatiekanalen voorzien van brandkleppen waardoor het risico op brandoverslag naar overige ruimten wordt beperkt.  (125 mm)</v>
      </c>
    </row>
    <row r="45" spans="1:1" ht="26.4" x14ac:dyDescent="0.25">
      <c r="A45" s="48" t="str">
        <f>'[1]huidige versie'!$A45</f>
        <v>Ventilatiekanalen voorzien van brandkleppen waardoor het risico op brandoverslag naar overige ruimten wordt beperkt. (250 mm)</v>
      </c>
    </row>
    <row r="46" spans="1:1" ht="26.4" x14ac:dyDescent="0.25">
      <c r="A46" s="48" t="str">
        <f>'[1]huidige versie'!$A46</f>
        <v>Ventilatiekanalen voorzien van brandkleppen waardoor het risico op brandoverslag naar overige ruimten wordt beperkt.  (315 mm)</v>
      </c>
    </row>
    <row r="47" spans="1:1" ht="26.4" x14ac:dyDescent="0.25">
      <c r="A47" s="48" t="str">
        <f>'[1]huidige versie'!$A47</f>
        <v>Ventilatiekanalen voorzien van brandkleppen waardoor het risico op brandoverslag naar overige ruimten wordt beperkt.  (400 mm)</v>
      </c>
    </row>
    <row r="48" spans="1:1" ht="26.4" x14ac:dyDescent="0.25">
      <c r="A48" s="48" t="str">
        <f>'[1]huidige versie'!$A48</f>
        <v>Ventilatiekanalen voorzien van brandkleppen waardoor het risico op brandoverslag naar overige ruimten wordt beperkt. (500 mm)</v>
      </c>
    </row>
    <row r="49" spans="1:1" x14ac:dyDescent="0.25">
      <c r="A49" s="48" t="str">
        <f>'[1]huidige versie'!$A49</f>
        <v>Brandwerend ventilatierooster plaatsen</v>
      </c>
    </row>
    <row r="50" spans="1:1" x14ac:dyDescent="0.25">
      <c r="A50" s="48" t="str">
        <f>'[1]huidige versie'!$A50</f>
        <v>Brandwerend ventilatieventiel plaatsen</v>
      </c>
    </row>
    <row r="51" spans="1:1" x14ac:dyDescent="0.25">
      <c r="A51" s="48" t="str">
        <f>'[1]huidige versie'!$A51</f>
        <v xml:space="preserve">De tegels herstellen zodat er veilig gevlucht kan worden. </v>
      </c>
    </row>
    <row r="52" spans="1:1" ht="26.4" x14ac:dyDescent="0.25">
      <c r="A52" s="48" t="str">
        <f>'[1]huidige versie'!$A52</f>
        <v xml:space="preserve">Bewoners informeren om geen objecten te plaatsen in de vluchtwegen en de objecten te verwijderen. </v>
      </c>
    </row>
    <row r="53" spans="1:1" ht="26.4" x14ac:dyDescent="0.25">
      <c r="A53" s="48" t="str">
        <f>'[1]huidige versie'!$A53</f>
        <v xml:space="preserve">Vluchttrap vervangen zodat de gestelde brandwerendheidseisen behaald worden. </v>
      </c>
    </row>
    <row r="54" spans="1:1" ht="26.4" x14ac:dyDescent="0.25">
      <c r="A54" s="48" t="str">
        <f>'[1]huidige versie'!$A54</f>
        <v xml:space="preserve">Hellingbaan zodanig aanpassen dat de gestelde brandwerendheidseisen worden behaald. </v>
      </c>
    </row>
    <row r="55" spans="1:1" ht="26.4" x14ac:dyDescent="0.25">
      <c r="A55" s="48" t="str">
        <f>'[1]huidige versie'!$A55</f>
        <v xml:space="preserve">Draairichting van de deur in de vluchtroute aanpassen zodat de deur bij het openen niet tegen de vluchtrichting in draait. </v>
      </c>
    </row>
    <row r="56" spans="1:1" ht="26.4" x14ac:dyDescent="0.25">
      <c r="A56" s="48" t="str">
        <f>'[1]huidige versie'!$A56</f>
        <v>Bewoners informeren het zelfsluitende constructieonderdeel niet vast te zetten.</v>
      </c>
    </row>
    <row r="57" spans="1:1" x14ac:dyDescent="0.25">
      <c r="A57" s="48" t="str">
        <f>'[1]huidige versie'!$A57</f>
        <v>Trapleuning toepassen</v>
      </c>
    </row>
    <row r="58" spans="1:1" ht="26.4" x14ac:dyDescent="0.25">
      <c r="A58" s="48" t="str">
        <f>'[1]huidige versie'!$A58</f>
        <v xml:space="preserve">Bewoners informeren om geen scootmobielen in de vluchtweg te stallen. </v>
      </c>
    </row>
    <row r="59" spans="1:1" x14ac:dyDescent="0.25">
      <c r="A59" s="48" t="str">
        <f>'[1]huidige versie'!$A59</f>
        <v>Nieuwe scootmobielruimte realiseren (afhankelijk van de situatie)</v>
      </c>
    </row>
    <row r="60" spans="1:1" x14ac:dyDescent="0.25">
      <c r="A60" s="48" t="str">
        <f>'[1]huidige versie'!$A60</f>
        <v>Oplaadpunt scootmobielen verwijderen</v>
      </c>
    </row>
    <row r="61" spans="1:1" x14ac:dyDescent="0.25">
      <c r="A61" s="48" t="str">
        <f>'[1]huidige versie'!$A61</f>
        <v xml:space="preserve">Blusmiddelen onderhouden en voorzien van een keuringssticker. </v>
      </c>
    </row>
    <row r="62" spans="1:1" x14ac:dyDescent="0.25">
      <c r="A62" s="48" t="str">
        <f>'[1]huidige versie'!$A62</f>
        <v xml:space="preserve">Gebouw voorzien van voldoende blusmiddelen. </v>
      </c>
    </row>
    <row r="63" spans="1:1" ht="26.4" x14ac:dyDescent="0.25">
      <c r="A63" s="48" t="str">
        <f>'[1]huidige versie'!$A63</f>
        <v xml:space="preserve">Blusmiddel duidelijk zichtbaar ophangen of aanduiden met pictogrammen. </v>
      </c>
    </row>
    <row r="64" spans="1:1" ht="26.4" x14ac:dyDescent="0.25">
      <c r="A64" s="48" t="str">
        <f>'[1]huidige versie'!$A64</f>
        <v xml:space="preserve">BMI (indien nodig) in nominale staat brengen en certificeren volgens CCV inspectieschema brandbeveiliging. </v>
      </c>
    </row>
    <row r="65" spans="1:1" x14ac:dyDescent="0.25">
      <c r="A65" s="48" t="str">
        <f>'[1]huidige versie'!$A65</f>
        <v>Nevenindicator verplaatsen</v>
      </c>
    </row>
    <row r="66" spans="1:1" ht="26.4" x14ac:dyDescent="0.25">
      <c r="A66" s="48" t="str">
        <f>'[1]huidige versie'!$A66</f>
        <v xml:space="preserve">Documenten aanvragen zodat aangetoond kan worden dat de BMI aan de eisen van het Besluit bouwwerken leefomgeving voldoet. </v>
      </c>
    </row>
    <row r="67" spans="1:1" x14ac:dyDescent="0.25">
      <c r="A67" s="48" t="str">
        <f>'[1]huidige versie'!$A67</f>
        <v>Ontruimingsplan maken</v>
      </c>
    </row>
    <row r="68" spans="1:1" x14ac:dyDescent="0.25">
      <c r="A68" s="48" t="str">
        <f>'[1]huidige versie'!$A68</f>
        <v>Logboek aanleveren</v>
      </c>
    </row>
    <row r="69" spans="1:1" x14ac:dyDescent="0.25">
      <c r="A69" s="48" t="str">
        <f>'[1]huidige versie'!$A69</f>
        <v xml:space="preserve">Verlichting onderhouden en voorzien van een keuringssticker. </v>
      </c>
    </row>
    <row r="70" spans="1:1" x14ac:dyDescent="0.25">
      <c r="A70" s="48" t="str">
        <f>'[1]huidige versie'!$A70</f>
        <v xml:space="preserve">Nood- en vluchtwegverlichting aanbrengen in de gebouwen. </v>
      </c>
    </row>
    <row r="71" spans="1:1" ht="26.4" x14ac:dyDescent="0.25">
      <c r="A71" s="48" t="str">
        <f>'[1]huidige versie'!$A71</f>
        <v xml:space="preserve">Vluchtrouteaanduidingen op duidelijk waarneembare plekken aanbrengen. </v>
      </c>
    </row>
    <row r="72" spans="1:1" x14ac:dyDescent="0.25">
      <c r="A72" s="48" t="str">
        <f>'[1]huidige versie'!$A72</f>
        <v>Vluchtrouteaanduidingen verwijderen</v>
      </c>
    </row>
    <row r="73" spans="1:1" ht="26.4" x14ac:dyDescent="0.25">
      <c r="A73" s="48" t="str">
        <f>'[1]huidige versie'!$A73</f>
        <v>Nood- en vluchtwegverlichting controleren, onderhouden en voorzien van een keuringssticker</v>
      </c>
    </row>
    <row r="74" spans="1:1" x14ac:dyDescent="0.25">
      <c r="A74" s="48" t="str">
        <f>'[1]huidige versie'!$A74</f>
        <v xml:space="preserve">Brandweeringang aangeven d.m.v. een pictogram. </v>
      </c>
    </row>
    <row r="75" spans="1:1" x14ac:dyDescent="0.25">
      <c r="A75" s="48" t="str">
        <f>'[1]huidige versie'!$A75</f>
        <v>Groene ontruimingsknop plaatsen</v>
      </c>
    </row>
    <row r="76" spans="1:1" ht="26.4" x14ac:dyDescent="0.25">
      <c r="A76" s="48" t="str">
        <f>'[1]huidige versie'!$A76</f>
        <v xml:space="preserve">Inspectie uitvoeren om te inventariseren hoeveel rookmelders er geplaatst moeten worden. </v>
      </c>
    </row>
    <row r="77" spans="1:1" x14ac:dyDescent="0.25">
      <c r="A77" s="48" t="str">
        <f>'[1]huidige versie'!$A77</f>
        <v xml:space="preserve">Rookmelder plaatsen EI650I </v>
      </c>
    </row>
    <row r="78" spans="1:1" x14ac:dyDescent="0.25">
      <c r="A78" s="48" t="str">
        <f>'[1]huidige versie'!$A78</f>
        <v>Rookmelder plaatsen (koppelbaar) EI650I</v>
      </c>
    </row>
    <row r="79" spans="1:1" x14ac:dyDescent="0.25">
      <c r="A79" s="48" t="str">
        <f>'[1]huidige versie'!$A79</f>
        <v>Rookmelders verplaatsen</v>
      </c>
    </row>
    <row r="80" spans="1:1" ht="26.4" x14ac:dyDescent="0.25">
      <c r="A80" s="48" t="str">
        <f>'[1]huidige versie'!$A80</f>
        <v>De bewoners informeren de rookmelders op te hangen en aan te sluiten.</v>
      </c>
    </row>
    <row r="81" spans="1:1" x14ac:dyDescent="0.25">
      <c r="A81" s="48" t="str">
        <f>'[1]huidige versie'!$A81</f>
        <v>Slot herstellen</v>
      </c>
    </row>
    <row r="82" spans="1:1" x14ac:dyDescent="0.25">
      <c r="A82" s="48" t="str">
        <f>'[1]huidige versie'!$A82</f>
        <v xml:space="preserve">Dagschoot herstellen </v>
      </c>
    </row>
    <row r="83" spans="1:1" x14ac:dyDescent="0.25">
      <c r="A83" s="48" t="str">
        <f>'[1]huidige versie'!$A83</f>
        <v xml:space="preserve">Anti-inbraakplaat </v>
      </c>
    </row>
    <row r="84" spans="1:1" x14ac:dyDescent="0.25">
      <c r="A84" s="48" t="str">
        <f>'[1]huidige versie'!$A84</f>
        <v>Deur hekwerk verwijderen</v>
      </c>
    </row>
    <row r="85" spans="1:1" x14ac:dyDescent="0.25">
      <c r="A85" s="48" t="str">
        <f>'[1]huidige versie'!$A85</f>
        <v>Meerpuntssluiting herstellen</v>
      </c>
    </row>
    <row r="86" spans="1:1" x14ac:dyDescent="0.25">
      <c r="A86" s="48" t="str">
        <f>'[1]huidige versie'!$A86</f>
        <v xml:space="preserve">Knopcilinder toepassen. </v>
      </c>
    </row>
    <row r="87" spans="1:1" x14ac:dyDescent="0.25">
      <c r="A87" s="48" t="str">
        <f>'[1]huidige versie'!$A87</f>
        <v>Brandoverslag berekening uitvoeren.</v>
      </c>
    </row>
    <row r="88" spans="1:1" x14ac:dyDescent="0.25">
      <c r="A88" s="48" t="str">
        <f>'[1]huidige versie'!$A88</f>
        <v>Nader onderzoek uitvoeren.</v>
      </c>
    </row>
    <row r="89" spans="1:1" x14ac:dyDescent="0.25">
      <c r="A89" s="48" t="str">
        <f>'[1]huidige versie'!$A89</f>
        <v>Vlamscherm plaatsen</v>
      </c>
    </row>
    <row r="90" spans="1:1" x14ac:dyDescent="0.25">
      <c r="A90" s="48" t="str">
        <f>'[1]huidige versie'!$A90</f>
        <v>Dakconstructie preventief brandwerend afwerken/onderbreken</v>
      </c>
    </row>
    <row r="91" spans="1:1" x14ac:dyDescent="0.25">
      <c r="A91" s="48" t="str">
        <f>'[1]huidige versie'!$A91</f>
        <v>Naden dichtkitten</v>
      </c>
    </row>
    <row r="92" spans="1:1" x14ac:dyDescent="0.25">
      <c r="A92" s="48" t="str">
        <f>'[1]huidige versie'!$A92</f>
        <v>Vloerelementen reinigen</v>
      </c>
    </row>
    <row r="93" spans="1:1" x14ac:dyDescent="0.25">
      <c r="A93" s="48" t="str">
        <f>'[1]huidige versie'!$A93</f>
        <v>Verdieping nummering aanbrengen</v>
      </c>
    </row>
    <row r="94" spans="1:1" x14ac:dyDescent="0.25">
      <c r="A94" s="48" t="str">
        <f>'[1]huidige versie'!$A94</f>
        <v>Waarschuwingsborden wegens struikelgevaar plaatsen</v>
      </c>
    </row>
    <row r="95" spans="1:1" x14ac:dyDescent="0.25">
      <c r="A95" s="48" t="str">
        <f>'[1]huidige versie'!$A95</f>
        <v>Windhaak verwijderen</v>
      </c>
    </row>
    <row r="96" spans="1:1" x14ac:dyDescent="0.25">
      <c r="A96" s="48" t="str">
        <f>'[1]huidige versie'!$A96</f>
        <v>Sparing afdichten</v>
      </c>
    </row>
    <row r="97" spans="1:1" x14ac:dyDescent="0.25">
      <c r="A97" s="48" t="str">
        <f>'[1]huidige versie'!$A97</f>
        <v xml:space="preserve">Brievenbus deur vervangen </v>
      </c>
    </row>
    <row r="98" spans="1:1" x14ac:dyDescent="0.25">
      <c r="A98" s="48" t="str">
        <f>'[1]huidige versie'!$A98</f>
        <v>Schilderen paneel</v>
      </c>
    </row>
    <row r="99" spans="1:1" x14ac:dyDescent="0.25">
      <c r="A99" s="48" t="str">
        <f>'[1]huidige versie'!$A99</f>
        <v xml:space="preserve">Applicatiestickers aanbrengen </v>
      </c>
    </row>
    <row r="100" spans="1:1" x14ac:dyDescent="0.25">
      <c r="A100" s="48" t="str">
        <f>'[1]huidige versie'!$A100</f>
        <v>Putty pad</v>
      </c>
    </row>
    <row r="101" spans="1:1" ht="26.4" x14ac:dyDescent="0.25">
      <c r="A101" s="48" t="str">
        <f>'[1]huidige versie'!$A101</f>
        <v>Aantonen of het constructieonderdeel voldoet aan de gestelde eisen vanuit het Besluit bouwwerken leefomgeving.</v>
      </c>
    </row>
    <row r="102" spans="1:1" x14ac:dyDescent="0.25">
      <c r="A102" s="48" t="str">
        <f>'[1]huidige versie'!$A102</f>
        <v>Kleefmagneet herstellen</v>
      </c>
    </row>
    <row r="103" spans="1:1" x14ac:dyDescent="0.25">
      <c r="A103" s="48" t="str">
        <f>'[1]huidige versie'!$A103</f>
        <v>Melding brandveilig gebruik aanleveren</v>
      </c>
    </row>
    <row r="104" spans="1:1" x14ac:dyDescent="0.25">
      <c r="A104" s="48" t="str">
        <f>'[1]huidige versie'!$A104</f>
        <v>Deurdranger herstellen</v>
      </c>
    </row>
    <row r="105" spans="1:1" x14ac:dyDescent="0.25">
      <c r="A105" s="48" t="str">
        <f>'[1]huidige versie'!$A105</f>
        <v xml:space="preserve">Afscheiding creëren </v>
      </c>
    </row>
    <row r="106" spans="1:1" x14ac:dyDescent="0.25">
      <c r="A106" s="48" t="str">
        <f>'[1]huidige versie'!$A106</f>
        <v>Ontruimingsplattegrond maken</v>
      </c>
    </row>
    <row r="107" spans="1:1" x14ac:dyDescent="0.25">
      <c r="A107" s="48" t="str">
        <f>'[1]huidige versie'!$A107</f>
        <v>Wandconstructie vervangen</v>
      </c>
    </row>
    <row r="108" spans="1:1" x14ac:dyDescent="0.25">
      <c r="A108" s="48">
        <f>'[1]huidige versie'!$A108</f>
        <v>0</v>
      </c>
    </row>
    <row r="109" spans="1:1" x14ac:dyDescent="0.25">
      <c r="A109" s="48">
        <f>'[1]huidige versie'!$A109</f>
        <v>0</v>
      </c>
    </row>
    <row r="110" spans="1:1" x14ac:dyDescent="0.25">
      <c r="A110" s="48">
        <f>'[1]huidige versie'!$A110</f>
        <v>0</v>
      </c>
    </row>
    <row r="111" spans="1:1" x14ac:dyDescent="0.25">
      <c r="A111" s="48">
        <f>'[1]huidige versie'!$A111</f>
        <v>0</v>
      </c>
    </row>
    <row r="112" spans="1:1" x14ac:dyDescent="0.25">
      <c r="A112" s="48">
        <f>'[1]huidige versie'!$A112</f>
        <v>0</v>
      </c>
    </row>
    <row r="113" spans="1:1" x14ac:dyDescent="0.25">
      <c r="A113" s="48">
        <f>'[1]huidige versie'!$A113</f>
        <v>0</v>
      </c>
    </row>
    <row r="114" spans="1:1" x14ac:dyDescent="0.25">
      <c r="A114" s="48">
        <f>'[1]huidige versie'!$A114</f>
        <v>0</v>
      </c>
    </row>
    <row r="115" spans="1:1" x14ac:dyDescent="0.25">
      <c r="A115" s="48">
        <f>'[1]huidige versie'!$A115</f>
        <v>0</v>
      </c>
    </row>
    <row r="116" spans="1:1" x14ac:dyDescent="0.25">
      <c r="A116" s="48">
        <f>'[1]huidige versie'!$A116</f>
        <v>0</v>
      </c>
    </row>
    <row r="117" spans="1:1" x14ac:dyDescent="0.25">
      <c r="A117" s="48">
        <f>'[1]huidige versie'!$A117</f>
        <v>0</v>
      </c>
    </row>
    <row r="118" spans="1:1" x14ac:dyDescent="0.25">
      <c r="A118" s="48">
        <f>'[1]huidige versie'!$A118</f>
        <v>0</v>
      </c>
    </row>
    <row r="119" spans="1:1" x14ac:dyDescent="0.25">
      <c r="A119" s="48">
        <f>'[1]huidige versie'!$A119</f>
        <v>0</v>
      </c>
    </row>
    <row r="120" spans="1:1" x14ac:dyDescent="0.25">
      <c r="A120" s="48">
        <f>'[1]huidige versie'!$A120</f>
        <v>0</v>
      </c>
    </row>
    <row r="121" spans="1:1" x14ac:dyDescent="0.25">
      <c r="A121" s="48">
        <f>'[1]huidige versie'!$A121</f>
        <v>0</v>
      </c>
    </row>
    <row r="122" spans="1:1" x14ac:dyDescent="0.25">
      <c r="A122" s="48">
        <f>'[1]huidige versie'!$A122</f>
        <v>0</v>
      </c>
    </row>
    <row r="123" spans="1:1" x14ac:dyDescent="0.25">
      <c r="A123" s="48">
        <f>'[1]huidige versie'!$A123</f>
        <v>0</v>
      </c>
    </row>
    <row r="124" spans="1:1" x14ac:dyDescent="0.25">
      <c r="A124" s="48">
        <f>'[1]huidige versie'!$A124</f>
        <v>0</v>
      </c>
    </row>
    <row r="125" spans="1:1" x14ac:dyDescent="0.25">
      <c r="A125" s="48">
        <f>'[1]huidige versie'!$A125</f>
        <v>0</v>
      </c>
    </row>
    <row r="126" spans="1:1" x14ac:dyDescent="0.25">
      <c r="A126" s="48">
        <f>'[1]huidige versie'!$A126</f>
        <v>0</v>
      </c>
    </row>
    <row r="127" spans="1:1" x14ac:dyDescent="0.25">
      <c r="A127" s="48">
        <f>'[1]huidige versie'!$A127</f>
        <v>0</v>
      </c>
    </row>
    <row r="128" spans="1:1" x14ac:dyDescent="0.25">
      <c r="A128" s="48">
        <f>'[1]huidige versie'!$A128</f>
        <v>0</v>
      </c>
    </row>
    <row r="129" spans="1:1" x14ac:dyDescent="0.25">
      <c r="A129" s="48">
        <f>'[1]huidige versie'!$A129</f>
        <v>0</v>
      </c>
    </row>
    <row r="130" spans="1:1" x14ac:dyDescent="0.25">
      <c r="A130" s="48">
        <f>'[1]huidige versie'!$A130</f>
        <v>0</v>
      </c>
    </row>
    <row r="131" spans="1:1" x14ac:dyDescent="0.25">
      <c r="A131" s="48">
        <f>'[1]huidige versie'!$A131</f>
        <v>0</v>
      </c>
    </row>
    <row r="132" spans="1:1" x14ac:dyDescent="0.25">
      <c r="A132" s="48">
        <f>'[1]huidige versie'!$A132</f>
        <v>0</v>
      </c>
    </row>
    <row r="133" spans="1:1" x14ac:dyDescent="0.25">
      <c r="A133" s="48">
        <f>'[1]huidige versie'!$A133</f>
        <v>0</v>
      </c>
    </row>
    <row r="134" spans="1:1" x14ac:dyDescent="0.25">
      <c r="A134" s="48">
        <f>'[1]huidige versie'!$A134</f>
        <v>0</v>
      </c>
    </row>
    <row r="135" spans="1:1" x14ac:dyDescent="0.25">
      <c r="A135" s="48">
        <f>'[1]huidige versie'!$A135</f>
        <v>0</v>
      </c>
    </row>
    <row r="136" spans="1:1" x14ac:dyDescent="0.25">
      <c r="A136" s="48">
        <f>'[1]huidige versie'!$A136</f>
        <v>0</v>
      </c>
    </row>
    <row r="137" spans="1:1" x14ac:dyDescent="0.25">
      <c r="A137" s="48">
        <f>'[1]huidige versie'!$A137</f>
        <v>0</v>
      </c>
    </row>
    <row r="138" spans="1:1" x14ac:dyDescent="0.25">
      <c r="A138" s="48">
        <f>'[1]huidige versie'!$A138</f>
        <v>0</v>
      </c>
    </row>
    <row r="139" spans="1:1" x14ac:dyDescent="0.25">
      <c r="A139" s="48">
        <f>'[1]huidige versie'!$A139</f>
        <v>0</v>
      </c>
    </row>
    <row r="140" spans="1:1" x14ac:dyDescent="0.25">
      <c r="A140" s="48">
        <f>'[1]huidige versie'!$A140</f>
        <v>0</v>
      </c>
    </row>
    <row r="141" spans="1:1" x14ac:dyDescent="0.25">
      <c r="A141" s="48">
        <f>'[1]huidige versie'!$A141</f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3"/>
  <dimension ref="A1"/>
  <sheetViews>
    <sheetView workbookViewId="0">
      <selection activeCell="B43" sqref="B43"/>
    </sheetView>
  </sheetViews>
  <sheetFormatPr defaultRowHeight="13.2" x14ac:dyDescent="0.25"/>
  <sheetData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3182f2-9678-43da-a754-a878890c51da">
      <Terms xmlns="http://schemas.microsoft.com/office/infopath/2007/PartnerControls"/>
    </lcf76f155ced4ddcb4097134ff3c332f>
    <TaxCatchAll xmlns="4ee85f4c-40e7-4859-a714-e351fb594b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D7ADABE05E40A150ED07B3E6874F" ma:contentTypeVersion="12" ma:contentTypeDescription="Een nieuw document maken." ma:contentTypeScope="" ma:versionID="b8a6c990270920567621a3f2a55c2b3a">
  <xsd:schema xmlns:xsd="http://www.w3.org/2001/XMLSchema" xmlns:xs="http://www.w3.org/2001/XMLSchema" xmlns:p="http://schemas.microsoft.com/office/2006/metadata/properties" xmlns:ns2="1d3182f2-9678-43da-a754-a878890c51da" xmlns:ns3="4ee85f4c-40e7-4859-a714-e351fb594bb6" targetNamespace="http://schemas.microsoft.com/office/2006/metadata/properties" ma:root="true" ma:fieldsID="8efb93986eafd439393d9328e3b1bb44" ns2:_="" ns3:_="">
    <xsd:import namespace="1d3182f2-9678-43da-a754-a878890c51da"/>
    <xsd:import namespace="4ee85f4c-40e7-4859-a714-e351fb594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182f2-9678-43da-a754-a878890c51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96a12d5f-04ba-4cc4-9381-f22c56f9c1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e85f4c-40e7-4859-a714-e351fb594b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9e19f08-1c20-4691-87bf-4a480e5be735}" ma:internalName="TaxCatchAll" ma:showField="CatchAllData" ma:web="4ee85f4c-40e7-4859-a714-e351fb594b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D183BA-0855-465C-AFF4-DDE9DFC93E80}">
  <ds:schemaRefs>
    <ds:schemaRef ds:uri="http://schemas.microsoft.com/office/2006/metadata/properties"/>
    <ds:schemaRef ds:uri="http://schemas.microsoft.com/office/infopath/2007/PartnerControls"/>
    <ds:schemaRef ds:uri="1d3182f2-9678-43da-a754-a878890c51da"/>
    <ds:schemaRef ds:uri="4ee85f4c-40e7-4859-a714-e351fb594bb6"/>
  </ds:schemaRefs>
</ds:datastoreItem>
</file>

<file path=customXml/itemProps2.xml><?xml version="1.0" encoding="utf-8"?>
<ds:datastoreItem xmlns:ds="http://schemas.openxmlformats.org/officeDocument/2006/customXml" ds:itemID="{E8695A41-D3D8-466B-9058-E66F9F26C0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3974B0-4A73-44DE-A696-ED6262CBAA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3182f2-9678-43da-a754-a878890c51da"/>
    <ds:schemaRef ds:uri="4ee85f4c-40e7-4859-a714-e351fb594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Kromodihardjo</dc:creator>
  <cp:lastModifiedBy>Joost Prikken</cp:lastModifiedBy>
  <cp:lastPrinted>2017-08-29T08:23:11Z</cp:lastPrinted>
  <dcterms:created xsi:type="dcterms:W3CDTF">2011-06-08T07:17:02Z</dcterms:created>
  <dcterms:modified xsi:type="dcterms:W3CDTF">2026-08-18T15:20:16Z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0x0101000113D7ADABE05E40A150ED07B3E6874F</vt:lpwstr>
  </property>
  <property fmtid="{D5CDD505-2E9C-101B-9397-08002B2CF9AE}" pid="3" name="MediaServiceImageTags">
    <vt:lpwstr/>
  </property>
</Properties>
</file>